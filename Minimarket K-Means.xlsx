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C STYLE 5\Downloads\"/>
    </mc:Choice>
  </mc:AlternateContent>
  <xr:revisionPtr revIDLastSave="0" documentId="13_ncr:1_{246D5C10-4E9C-41C6-AF9E-7A68CAD3E60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taset_Rapi" sheetId="1" r:id="rId1"/>
    <sheet name="Iterasi_1" sheetId="2" r:id="rId2"/>
    <sheet name="Iterasi_2" sheetId="3" r:id="rId3"/>
    <sheet name="Iterasi_3" sheetId="4" r:id="rId4"/>
    <sheet name="Iterasi_4" sheetId="5" r:id="rId5"/>
    <sheet name="Iterasi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6" l="1"/>
  <c r="E51" i="6"/>
  <c r="D51" i="6"/>
  <c r="C51" i="6"/>
  <c r="B51" i="6"/>
  <c r="A51" i="6"/>
  <c r="D50" i="6"/>
  <c r="E50" i="6" s="1"/>
  <c r="C50" i="6"/>
  <c r="B50" i="6"/>
  <c r="A50" i="6"/>
  <c r="D49" i="6"/>
  <c r="C49" i="6"/>
  <c r="B49" i="6"/>
  <c r="E49" i="6" s="1"/>
  <c r="A49" i="6"/>
  <c r="D48" i="6"/>
  <c r="C48" i="6"/>
  <c r="B48" i="6"/>
  <c r="G48" i="6" s="1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F44" i="6" s="1"/>
  <c r="A44" i="6"/>
  <c r="D43" i="6"/>
  <c r="C43" i="6"/>
  <c r="F43" i="6" s="1"/>
  <c r="B43" i="6"/>
  <c r="A43" i="6"/>
  <c r="D42" i="6"/>
  <c r="C42" i="6"/>
  <c r="B42" i="6"/>
  <c r="G42" i="6" s="1"/>
  <c r="A42" i="6"/>
  <c r="D41" i="6"/>
  <c r="C41" i="6"/>
  <c r="B41" i="6"/>
  <c r="A41" i="6"/>
  <c r="G40" i="6"/>
  <c r="E40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F34" i="6" s="1"/>
  <c r="B34" i="6"/>
  <c r="A34" i="6"/>
  <c r="D33" i="6"/>
  <c r="C33" i="6"/>
  <c r="G33" i="6" s="1"/>
  <c r="B33" i="6"/>
  <c r="A33" i="6"/>
  <c r="G32" i="6"/>
  <c r="D32" i="6"/>
  <c r="C32" i="6"/>
  <c r="B32" i="6"/>
  <c r="E32" i="6" s="1"/>
  <c r="A32" i="6"/>
  <c r="D31" i="6"/>
  <c r="C31" i="6"/>
  <c r="B31" i="6"/>
  <c r="F31" i="6" s="1"/>
  <c r="A31" i="6"/>
  <c r="D30" i="6"/>
  <c r="G30" i="6" s="1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E22" i="6" s="1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F13" i="6" s="1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D4" i="6"/>
  <c r="C4" i="6"/>
  <c r="B4" i="6"/>
  <c r="F4" i="6" s="1"/>
  <c r="A4" i="6"/>
  <c r="D3" i="6"/>
  <c r="C3" i="6"/>
  <c r="B3" i="6"/>
  <c r="A3" i="6"/>
  <c r="G2" i="6"/>
  <c r="F2" i="6"/>
  <c r="D2" i="6"/>
  <c r="C2" i="6"/>
  <c r="B2" i="6"/>
  <c r="E2" i="6" s="1"/>
  <c r="A2" i="6"/>
  <c r="G51" i="5"/>
  <c r="F51" i="5"/>
  <c r="E51" i="5"/>
  <c r="D51" i="5"/>
  <c r="C51" i="5"/>
  <c r="B51" i="5"/>
  <c r="A51" i="5"/>
  <c r="D50" i="5"/>
  <c r="C50" i="5"/>
  <c r="B50" i="5"/>
  <c r="E50" i="5" s="1"/>
  <c r="A50" i="5"/>
  <c r="D49" i="5"/>
  <c r="C49" i="5"/>
  <c r="B49" i="5"/>
  <c r="A49" i="5"/>
  <c r="D48" i="5"/>
  <c r="C48" i="5"/>
  <c r="F48" i="5" s="1"/>
  <c r="B48" i="5"/>
  <c r="A48" i="5"/>
  <c r="D47" i="5"/>
  <c r="C47" i="5"/>
  <c r="B47" i="5"/>
  <c r="E47" i="5" s="1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G43" i="5" s="1"/>
  <c r="B43" i="5"/>
  <c r="A43" i="5"/>
  <c r="D42" i="5"/>
  <c r="C42" i="5"/>
  <c r="B42" i="5"/>
  <c r="F42" i="5" s="1"/>
  <c r="A42" i="5"/>
  <c r="G41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G30" i="5" s="1"/>
  <c r="A30" i="5"/>
  <c r="D29" i="5"/>
  <c r="C29" i="5"/>
  <c r="B29" i="5"/>
  <c r="A29" i="5"/>
  <c r="D28" i="5"/>
  <c r="G28" i="5" s="1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E21" i="5" s="1"/>
  <c r="A21" i="5"/>
  <c r="D20" i="5"/>
  <c r="C20" i="5"/>
  <c r="B20" i="5"/>
  <c r="G20" i="5" s="1"/>
  <c r="A20" i="5"/>
  <c r="G19" i="5"/>
  <c r="F19" i="5"/>
  <c r="D19" i="5"/>
  <c r="C19" i="5"/>
  <c r="E19" i="5" s="1"/>
  <c r="B19" i="5"/>
  <c r="A19" i="5"/>
  <c r="D18" i="5"/>
  <c r="C18" i="5"/>
  <c r="G18" i="5" s="1"/>
  <c r="B18" i="5"/>
  <c r="A18" i="5"/>
  <c r="D17" i="5"/>
  <c r="C17" i="5"/>
  <c r="B17" i="5"/>
  <c r="F17" i="5" s="1"/>
  <c r="A17" i="5"/>
  <c r="F16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E11" i="5" s="1"/>
  <c r="B11" i="5"/>
  <c r="F11" i="5" s="1"/>
  <c r="A11" i="5"/>
  <c r="D10" i="5"/>
  <c r="C10" i="5"/>
  <c r="B10" i="5"/>
  <c r="A10" i="5"/>
  <c r="G9" i="5"/>
  <c r="E9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F41" i="4"/>
  <c r="D41" i="4"/>
  <c r="C41" i="4"/>
  <c r="B41" i="4"/>
  <c r="A41" i="4"/>
  <c r="D40" i="4"/>
  <c r="F40" i="4" s="1"/>
  <c r="C40" i="4"/>
  <c r="B40" i="4"/>
  <c r="A40" i="4"/>
  <c r="D39" i="4"/>
  <c r="C39" i="4"/>
  <c r="B39" i="4"/>
  <c r="F39" i="4" s="1"/>
  <c r="A39" i="4"/>
  <c r="G38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F33" i="4" s="1"/>
  <c r="C33" i="4"/>
  <c r="B33" i="4"/>
  <c r="A33" i="4"/>
  <c r="D32" i="4"/>
  <c r="C32" i="4"/>
  <c r="B32" i="4"/>
  <c r="A32" i="4"/>
  <c r="G31" i="4"/>
  <c r="D31" i="4"/>
  <c r="C31" i="4"/>
  <c r="B31" i="4"/>
  <c r="A31" i="4"/>
  <c r="E30" i="4"/>
  <c r="D30" i="4"/>
  <c r="C30" i="4"/>
  <c r="B30" i="4"/>
  <c r="G30" i="4" s="1"/>
  <c r="A30" i="4"/>
  <c r="D29" i="4"/>
  <c r="C29" i="4"/>
  <c r="G29" i="4" s="1"/>
  <c r="B29" i="4"/>
  <c r="A29" i="4"/>
  <c r="G28" i="4"/>
  <c r="D28" i="4"/>
  <c r="C28" i="4"/>
  <c r="B28" i="4"/>
  <c r="E28" i="4" s="1"/>
  <c r="A28" i="4"/>
  <c r="D27" i="4"/>
  <c r="C27" i="4"/>
  <c r="B27" i="4"/>
  <c r="A27" i="4"/>
  <c r="D26" i="4"/>
  <c r="C26" i="4"/>
  <c r="B26" i="4"/>
  <c r="G26" i="4" s="1"/>
  <c r="A26" i="4"/>
  <c r="D25" i="4"/>
  <c r="C25" i="4"/>
  <c r="E25" i="4" s="1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F21" i="4"/>
  <c r="D21" i="4"/>
  <c r="G21" i="4" s="1"/>
  <c r="C21" i="4"/>
  <c r="B21" i="4"/>
  <c r="A21" i="4"/>
  <c r="D20" i="4"/>
  <c r="C20" i="4"/>
  <c r="B20" i="4"/>
  <c r="A20" i="4"/>
  <c r="D19" i="4"/>
  <c r="F19" i="4" s="1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F16" i="4" s="1"/>
  <c r="A16" i="4"/>
  <c r="D15" i="4"/>
  <c r="C15" i="4"/>
  <c r="B15" i="4"/>
  <c r="G15" i="4" s="1"/>
  <c r="A15" i="4"/>
  <c r="G14" i="4"/>
  <c r="D14" i="4"/>
  <c r="C14" i="4"/>
  <c r="F14" i="4" s="1"/>
  <c r="B14" i="4"/>
  <c r="A14" i="4"/>
  <c r="D13" i="4"/>
  <c r="C13" i="4"/>
  <c r="G13" i="4" s="1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G10" i="4" s="1"/>
  <c r="A10" i="4"/>
  <c r="G9" i="4"/>
  <c r="D9" i="4"/>
  <c r="F9" i="4" s="1"/>
  <c r="C9" i="4"/>
  <c r="B9" i="4"/>
  <c r="A9" i="4"/>
  <c r="G8" i="4"/>
  <c r="F8" i="4"/>
  <c r="D8" i="4"/>
  <c r="C8" i="4"/>
  <c r="E8" i="4" s="1"/>
  <c r="B8" i="4"/>
  <c r="A8" i="4"/>
  <c r="G7" i="4"/>
  <c r="F7" i="4"/>
  <c r="H7" i="4" s="1"/>
  <c r="E7" i="4"/>
  <c r="D7" i="4"/>
  <c r="C7" i="4"/>
  <c r="B7" i="4"/>
  <c r="A7" i="4"/>
  <c r="D6" i="4"/>
  <c r="C6" i="4"/>
  <c r="B6" i="4"/>
  <c r="A6" i="4"/>
  <c r="D5" i="4"/>
  <c r="G5" i="4" s="1"/>
  <c r="C5" i="4"/>
  <c r="B5" i="4"/>
  <c r="A5" i="4"/>
  <c r="D4" i="4"/>
  <c r="C4" i="4"/>
  <c r="B4" i="4"/>
  <c r="A4" i="4"/>
  <c r="D3" i="4"/>
  <c r="C3" i="4"/>
  <c r="B3" i="4"/>
  <c r="A3" i="4"/>
  <c r="D2" i="4"/>
  <c r="C2" i="4"/>
  <c r="F2" i="4" s="1"/>
  <c r="B2" i="4"/>
  <c r="A2" i="4"/>
  <c r="D51" i="3"/>
  <c r="C51" i="3"/>
  <c r="B51" i="3"/>
  <c r="A51" i="3"/>
  <c r="G50" i="3"/>
  <c r="D50" i="3"/>
  <c r="C50" i="3"/>
  <c r="B50" i="3"/>
  <c r="A50" i="3"/>
  <c r="D49" i="3"/>
  <c r="C49" i="3"/>
  <c r="B49" i="3"/>
  <c r="A49" i="3"/>
  <c r="D48" i="3"/>
  <c r="C48" i="3"/>
  <c r="B48" i="3"/>
  <c r="F48" i="3" s="1"/>
  <c r="A48" i="3"/>
  <c r="D47" i="3"/>
  <c r="C47" i="3"/>
  <c r="B47" i="3"/>
  <c r="A47" i="3"/>
  <c r="D46" i="3"/>
  <c r="C46" i="3"/>
  <c r="B46" i="3"/>
  <c r="G46" i="3" s="1"/>
  <c r="A46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F42" i="3" s="1"/>
  <c r="A42" i="3"/>
  <c r="D41" i="3"/>
  <c r="C41" i="3"/>
  <c r="F41" i="3" s="1"/>
  <c r="B41" i="3"/>
  <c r="A41" i="3"/>
  <c r="D40" i="3"/>
  <c r="C40" i="3"/>
  <c r="B40" i="3"/>
  <c r="G40" i="3" s="1"/>
  <c r="A40" i="3"/>
  <c r="D39" i="3"/>
  <c r="C39" i="3"/>
  <c r="E39" i="3" s="1"/>
  <c r="B39" i="3"/>
  <c r="A39" i="3"/>
  <c r="D38" i="3"/>
  <c r="C38" i="3"/>
  <c r="B38" i="3"/>
  <c r="F38" i="3" s="1"/>
  <c r="A38" i="3"/>
  <c r="D37" i="3"/>
  <c r="C37" i="3"/>
  <c r="B37" i="3"/>
  <c r="A37" i="3"/>
  <c r="D36" i="3"/>
  <c r="C36" i="3"/>
  <c r="B36" i="3"/>
  <c r="G36" i="3" s="1"/>
  <c r="A36" i="3"/>
  <c r="F35" i="3"/>
  <c r="D35" i="3"/>
  <c r="C35" i="3"/>
  <c r="B35" i="3"/>
  <c r="A35" i="3"/>
  <c r="D34" i="3"/>
  <c r="C34" i="3"/>
  <c r="B34" i="3"/>
  <c r="G34" i="3" s="1"/>
  <c r="A34" i="3"/>
  <c r="D33" i="3"/>
  <c r="C33" i="3"/>
  <c r="B33" i="3"/>
  <c r="A33" i="3"/>
  <c r="D32" i="3"/>
  <c r="C32" i="3"/>
  <c r="B32" i="3"/>
  <c r="G32" i="3" s="1"/>
  <c r="A32" i="3"/>
  <c r="D31" i="3"/>
  <c r="C31" i="3"/>
  <c r="B31" i="3"/>
  <c r="A31" i="3"/>
  <c r="D30" i="3"/>
  <c r="C30" i="3"/>
  <c r="B30" i="3"/>
  <c r="F30" i="3" s="1"/>
  <c r="A30" i="3"/>
  <c r="D29" i="3"/>
  <c r="C29" i="3"/>
  <c r="B29" i="3"/>
  <c r="A29" i="3"/>
  <c r="D28" i="3"/>
  <c r="C28" i="3"/>
  <c r="E28" i="3" s="1"/>
  <c r="B28" i="3"/>
  <c r="A28" i="3"/>
  <c r="D27" i="3"/>
  <c r="C27" i="3"/>
  <c r="B27" i="3"/>
  <c r="G27" i="3" s="1"/>
  <c r="A27" i="3"/>
  <c r="G26" i="3"/>
  <c r="D26" i="3"/>
  <c r="C26" i="3"/>
  <c r="F26" i="3" s="1"/>
  <c r="B26" i="3"/>
  <c r="A26" i="3"/>
  <c r="D25" i="3"/>
  <c r="C25" i="3"/>
  <c r="B25" i="3"/>
  <c r="G25" i="3" s="1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G21" i="3" s="1"/>
  <c r="A21" i="3"/>
  <c r="D20" i="3"/>
  <c r="C20" i="3"/>
  <c r="B20" i="3"/>
  <c r="E20" i="3" s="1"/>
  <c r="A20" i="3"/>
  <c r="G19" i="3"/>
  <c r="F19" i="3"/>
  <c r="D19" i="3"/>
  <c r="C19" i="3"/>
  <c r="B19" i="3"/>
  <c r="A19" i="3"/>
  <c r="D18" i="3"/>
  <c r="C18" i="3"/>
  <c r="F18" i="3" s="1"/>
  <c r="B18" i="3"/>
  <c r="G18" i="3" s="1"/>
  <c r="A18" i="3"/>
  <c r="D17" i="3"/>
  <c r="C17" i="3"/>
  <c r="B17" i="3"/>
  <c r="G17" i="3" s="1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G13" i="3" s="1"/>
  <c r="A13" i="3"/>
  <c r="G12" i="3"/>
  <c r="F12" i="3"/>
  <c r="E12" i="3"/>
  <c r="D12" i="3"/>
  <c r="C12" i="3"/>
  <c r="B12" i="3"/>
  <c r="A12" i="3"/>
  <c r="D11" i="3"/>
  <c r="C11" i="3"/>
  <c r="F11" i="3" s="1"/>
  <c r="B11" i="3"/>
  <c r="A11" i="3"/>
  <c r="D10" i="3"/>
  <c r="C10" i="3"/>
  <c r="B10" i="3"/>
  <c r="G10" i="3" s="1"/>
  <c r="A10" i="3"/>
  <c r="D9" i="3"/>
  <c r="C9" i="3"/>
  <c r="B9" i="3"/>
  <c r="A9" i="3"/>
  <c r="D8" i="3"/>
  <c r="C8" i="3"/>
  <c r="B8" i="3"/>
  <c r="G8" i="3" s="1"/>
  <c r="A8" i="3"/>
  <c r="D7" i="3"/>
  <c r="C7" i="3"/>
  <c r="B7" i="3"/>
  <c r="A7" i="3"/>
  <c r="D6" i="3"/>
  <c r="C6" i="3"/>
  <c r="B6" i="3"/>
  <c r="F6" i="3" s="1"/>
  <c r="A6" i="3"/>
  <c r="D5" i="3"/>
  <c r="C5" i="3"/>
  <c r="B5" i="3"/>
  <c r="A5" i="3"/>
  <c r="D4" i="3"/>
  <c r="C4" i="3"/>
  <c r="B4" i="3"/>
  <c r="E4" i="3" s="1"/>
  <c r="A4" i="3"/>
  <c r="D3" i="3"/>
  <c r="C3" i="3"/>
  <c r="B3" i="3"/>
  <c r="A3" i="3"/>
  <c r="G2" i="3"/>
  <c r="D2" i="3"/>
  <c r="C2" i="3"/>
  <c r="B2" i="3"/>
  <c r="A2" i="3"/>
  <c r="D51" i="2"/>
  <c r="C51" i="2"/>
  <c r="B51" i="2"/>
  <c r="G51" i="2" s="1"/>
  <c r="A51" i="2"/>
  <c r="D50" i="2"/>
  <c r="C50" i="2"/>
  <c r="B50" i="2"/>
  <c r="A50" i="2"/>
  <c r="D49" i="2"/>
  <c r="C49" i="2"/>
  <c r="B49" i="2"/>
  <c r="F49" i="2" s="1"/>
  <c r="A49" i="2"/>
  <c r="D48" i="2"/>
  <c r="C48" i="2"/>
  <c r="B48" i="2"/>
  <c r="A48" i="2"/>
  <c r="D47" i="2"/>
  <c r="G47" i="2" s="1"/>
  <c r="C47" i="2"/>
  <c r="B47" i="2"/>
  <c r="A47" i="2"/>
  <c r="D46" i="2"/>
  <c r="C46" i="2"/>
  <c r="B46" i="2"/>
  <c r="E46" i="2" s="1"/>
  <c r="A46" i="2"/>
  <c r="D45" i="2"/>
  <c r="C45" i="2"/>
  <c r="B45" i="2"/>
  <c r="G45" i="2" s="1"/>
  <c r="A45" i="2"/>
  <c r="D44" i="2"/>
  <c r="C44" i="2"/>
  <c r="B44" i="2"/>
  <c r="A44" i="2"/>
  <c r="D43" i="2"/>
  <c r="C43" i="2"/>
  <c r="B43" i="2"/>
  <c r="G43" i="2" s="1"/>
  <c r="A43" i="2"/>
  <c r="D42" i="2"/>
  <c r="C42" i="2"/>
  <c r="B42" i="2"/>
  <c r="A42" i="2"/>
  <c r="D41" i="2"/>
  <c r="C41" i="2"/>
  <c r="B41" i="2"/>
  <c r="F41" i="2" s="1"/>
  <c r="A41" i="2"/>
  <c r="D40" i="2"/>
  <c r="C40" i="2"/>
  <c r="B40" i="2"/>
  <c r="A40" i="2"/>
  <c r="D39" i="2"/>
  <c r="C39" i="2"/>
  <c r="B39" i="2"/>
  <c r="G39" i="2" s="1"/>
  <c r="A39" i="2"/>
  <c r="F38" i="2"/>
  <c r="D38" i="2"/>
  <c r="C38" i="2"/>
  <c r="B38" i="2"/>
  <c r="A38" i="2"/>
  <c r="D37" i="2"/>
  <c r="C37" i="2"/>
  <c r="B37" i="2"/>
  <c r="G37" i="2" s="1"/>
  <c r="A37" i="2"/>
  <c r="D36" i="2"/>
  <c r="C36" i="2"/>
  <c r="B36" i="2"/>
  <c r="A36" i="2"/>
  <c r="D35" i="2"/>
  <c r="C35" i="2"/>
  <c r="B35" i="2"/>
  <c r="G35" i="2" s="1"/>
  <c r="A35" i="2"/>
  <c r="D34" i="2"/>
  <c r="C34" i="2"/>
  <c r="B34" i="2"/>
  <c r="A34" i="2"/>
  <c r="D33" i="2"/>
  <c r="C33" i="2"/>
  <c r="B33" i="2"/>
  <c r="F33" i="2" s="1"/>
  <c r="A33" i="2"/>
  <c r="D32" i="2"/>
  <c r="C32" i="2"/>
  <c r="B32" i="2"/>
  <c r="A32" i="2"/>
  <c r="D31" i="2"/>
  <c r="C31" i="2"/>
  <c r="E31" i="2" s="1"/>
  <c r="B31" i="2"/>
  <c r="A31" i="2"/>
  <c r="D30" i="2"/>
  <c r="C30" i="2"/>
  <c r="B30" i="2"/>
  <c r="A30" i="2"/>
  <c r="G29" i="2"/>
  <c r="D29" i="2"/>
  <c r="C29" i="2"/>
  <c r="F29" i="2" s="1"/>
  <c r="B29" i="2"/>
  <c r="A29" i="2"/>
  <c r="D28" i="2"/>
  <c r="C28" i="2"/>
  <c r="B28" i="2"/>
  <c r="G28" i="2" s="1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E23" i="2" s="1"/>
  <c r="A23" i="2"/>
  <c r="G22" i="2"/>
  <c r="F22" i="2"/>
  <c r="D22" i="2"/>
  <c r="C22" i="2"/>
  <c r="B22" i="2"/>
  <c r="A22" i="2"/>
  <c r="D21" i="2"/>
  <c r="C21" i="2"/>
  <c r="F21" i="2" s="1"/>
  <c r="B21" i="2"/>
  <c r="G21" i="2" s="1"/>
  <c r="A21" i="2"/>
  <c r="D20" i="2"/>
  <c r="C20" i="2"/>
  <c r="B20" i="2"/>
  <c r="G20" i="2" s="1"/>
  <c r="A20" i="2"/>
  <c r="D19" i="2"/>
  <c r="C19" i="2"/>
  <c r="B19" i="2"/>
  <c r="A19" i="2"/>
  <c r="D18" i="2"/>
  <c r="C18" i="2"/>
  <c r="B18" i="2"/>
  <c r="A18" i="2"/>
  <c r="D17" i="2"/>
  <c r="C17" i="2"/>
  <c r="E17" i="2" s="1"/>
  <c r="B17" i="2"/>
  <c r="A17" i="2"/>
  <c r="D16" i="2"/>
  <c r="C16" i="2"/>
  <c r="B16" i="2"/>
  <c r="A16" i="2"/>
  <c r="G15" i="2"/>
  <c r="F15" i="2"/>
  <c r="E15" i="2"/>
  <c r="D15" i="2"/>
  <c r="C15" i="2"/>
  <c r="B15" i="2"/>
  <c r="A15" i="2"/>
  <c r="D14" i="2"/>
  <c r="C14" i="2"/>
  <c r="G14" i="2" s="1"/>
  <c r="B14" i="2"/>
  <c r="A14" i="2"/>
  <c r="D13" i="2"/>
  <c r="C13" i="2"/>
  <c r="B13" i="2"/>
  <c r="G13" i="2" s="1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G9" i="2" s="1"/>
  <c r="A9" i="2"/>
  <c r="D8" i="2"/>
  <c r="F8" i="2" s="1"/>
  <c r="C8" i="2"/>
  <c r="B8" i="2"/>
  <c r="A8" i="2"/>
  <c r="D7" i="2"/>
  <c r="C7" i="2"/>
  <c r="B7" i="2"/>
  <c r="G7" i="2" s="1"/>
  <c r="A7" i="2"/>
  <c r="D6" i="2"/>
  <c r="C6" i="2"/>
  <c r="B6" i="2"/>
  <c r="G6" i="2" s="1"/>
  <c r="A6" i="2"/>
  <c r="F5" i="2"/>
  <c r="D5" i="2"/>
  <c r="C5" i="2"/>
  <c r="B5" i="2"/>
  <c r="G5" i="2" s="1"/>
  <c r="A5" i="2"/>
  <c r="D4" i="2"/>
  <c r="C4" i="2"/>
  <c r="B4" i="2"/>
  <c r="A4" i="2"/>
  <c r="D3" i="2"/>
  <c r="C3" i="2"/>
  <c r="B3" i="2"/>
  <c r="A3" i="2"/>
  <c r="D2" i="2"/>
  <c r="C2" i="2"/>
  <c r="B2" i="2"/>
  <c r="A2" i="2"/>
  <c r="E3" i="3" l="1"/>
  <c r="G3" i="3"/>
  <c r="G11" i="3"/>
  <c r="F51" i="3"/>
  <c r="E51" i="3"/>
  <c r="E33" i="4"/>
  <c r="G40" i="4"/>
  <c r="F40" i="5"/>
  <c r="E43" i="5"/>
  <c r="F8" i="6"/>
  <c r="F16" i="6"/>
  <c r="G18" i="6"/>
  <c r="F50" i="6"/>
  <c r="F14" i="2"/>
  <c r="E30" i="2"/>
  <c r="F30" i="2"/>
  <c r="E47" i="2"/>
  <c r="E7" i="2"/>
  <c r="F47" i="2"/>
  <c r="F7" i="2"/>
  <c r="F13" i="2"/>
  <c r="G36" i="2"/>
  <c r="F46" i="2"/>
  <c r="F4" i="3"/>
  <c r="F10" i="3"/>
  <c r="G29" i="3"/>
  <c r="G33" i="3"/>
  <c r="G16" i="4"/>
  <c r="F30" i="4"/>
  <c r="F8" i="5"/>
  <c r="F23" i="5"/>
  <c r="F43" i="5"/>
  <c r="G50" i="5"/>
  <c r="E3" i="6"/>
  <c r="G4" i="6"/>
  <c r="G35" i="6"/>
  <c r="G50" i="6"/>
  <c r="E35" i="3"/>
  <c r="G35" i="3"/>
  <c r="F50" i="3"/>
  <c r="E50" i="3"/>
  <c r="E26" i="4"/>
  <c r="F29" i="4"/>
  <c r="G34" i="4"/>
  <c r="E34" i="4"/>
  <c r="F21" i="5"/>
  <c r="G42" i="5"/>
  <c r="G47" i="5"/>
  <c r="F49" i="5"/>
  <c r="G49" i="5"/>
  <c r="G22" i="6"/>
  <c r="E42" i="6"/>
  <c r="G49" i="6"/>
  <c r="E6" i="2"/>
  <c r="E39" i="2"/>
  <c r="G4" i="3"/>
  <c r="E20" i="5"/>
  <c r="G21" i="5"/>
  <c r="G27" i="5"/>
  <c r="G29" i="5"/>
  <c r="F41" i="5"/>
  <c r="E41" i="5"/>
  <c r="E17" i="6"/>
  <c r="E30" i="6"/>
  <c r="F32" i="6"/>
  <c r="F39" i="6"/>
  <c r="G41" i="6"/>
  <c r="F41" i="6"/>
  <c r="F42" i="6"/>
  <c r="E6" i="4"/>
  <c r="G6" i="4"/>
  <c r="G30" i="2"/>
  <c r="E38" i="2"/>
  <c r="G38" i="2"/>
  <c r="G46" i="2"/>
  <c r="E36" i="3"/>
  <c r="F10" i="4"/>
  <c r="E15" i="4"/>
  <c r="F6" i="2"/>
  <c r="F23" i="2"/>
  <c r="F39" i="2"/>
  <c r="F45" i="2"/>
  <c r="F3" i="3"/>
  <c r="F20" i="3"/>
  <c r="F36" i="3"/>
  <c r="E40" i="3"/>
  <c r="G44" i="3"/>
  <c r="G51" i="3"/>
  <c r="H51" i="3" s="1"/>
  <c r="E9" i="4"/>
  <c r="F15" i="4"/>
  <c r="G32" i="4"/>
  <c r="G17" i="5"/>
  <c r="E5" i="2"/>
  <c r="H5" i="2" s="1"/>
  <c r="E14" i="2"/>
  <c r="G23" i="2"/>
  <c r="G31" i="2"/>
  <c r="F31" i="2"/>
  <c r="E11" i="3"/>
  <c r="G20" i="3"/>
  <c r="G28" i="3"/>
  <c r="F28" i="3"/>
  <c r="G17" i="4"/>
  <c r="E23" i="4"/>
  <c r="E31" i="4"/>
  <c r="F20" i="5"/>
  <c r="G23" i="5"/>
  <c r="F29" i="5"/>
  <c r="G37" i="5"/>
  <c r="F3" i="6"/>
  <c r="E25" i="6"/>
  <c r="G27" i="6"/>
  <c r="F14" i="3"/>
  <c r="G16" i="3"/>
  <c r="E40" i="4"/>
  <c r="G11" i="5"/>
  <c r="E18" i="5"/>
  <c r="F22" i="5"/>
  <c r="E22" i="5"/>
  <c r="G34" i="6"/>
  <c r="G43" i="6"/>
  <c r="E27" i="3"/>
  <c r="F27" i="3"/>
  <c r="E39" i="4"/>
  <c r="H39" i="4" s="1"/>
  <c r="G39" i="4"/>
  <c r="F14" i="6"/>
  <c r="G14" i="6"/>
  <c r="E22" i="2"/>
  <c r="F37" i="2"/>
  <c r="F2" i="3"/>
  <c r="E19" i="3"/>
  <c r="F34" i="3"/>
  <c r="E16" i="4"/>
  <c r="F31" i="4"/>
  <c r="F38" i="4"/>
  <c r="G41" i="4"/>
  <c r="G15" i="5"/>
  <c r="E26" i="5"/>
  <c r="F28" i="5"/>
  <c r="F28" i="6"/>
  <c r="F30" i="6"/>
  <c r="G36" i="6"/>
  <c r="F40" i="6"/>
  <c r="G44" i="6"/>
  <c r="G51" i="6"/>
  <c r="G12" i="2"/>
  <c r="F16" i="2"/>
  <c r="F25" i="2"/>
  <c r="G27" i="2"/>
  <c r="G44" i="2"/>
  <c r="G5" i="3"/>
  <c r="G9" i="3"/>
  <c r="F22" i="3"/>
  <c r="G24" i="3"/>
  <c r="G37" i="3"/>
  <c r="F39" i="3"/>
  <c r="G41" i="3"/>
  <c r="G45" i="3"/>
  <c r="G47" i="3"/>
  <c r="E49" i="3"/>
  <c r="E14" i="4"/>
  <c r="G20" i="4"/>
  <c r="F27" i="4"/>
  <c r="E29" i="4"/>
  <c r="F9" i="5"/>
  <c r="G10" i="5"/>
  <c r="F24" i="6"/>
  <c r="G26" i="6"/>
  <c r="G28" i="6"/>
  <c r="E33" i="6"/>
  <c r="G22" i="4"/>
  <c r="F22" i="4"/>
  <c r="E22" i="4"/>
  <c r="H22" i="2"/>
  <c r="H38" i="2"/>
  <c r="G15" i="3"/>
  <c r="F15" i="3"/>
  <c r="E15" i="3"/>
  <c r="G23" i="3"/>
  <c r="F23" i="3"/>
  <c r="E23" i="3"/>
  <c r="G43" i="3"/>
  <c r="F43" i="3"/>
  <c r="E43" i="3"/>
  <c r="H31" i="2"/>
  <c r="H47" i="2"/>
  <c r="H9" i="4"/>
  <c r="G47" i="4"/>
  <c r="F47" i="4"/>
  <c r="E47" i="4"/>
  <c r="G35" i="5"/>
  <c r="F35" i="5"/>
  <c r="E35" i="5"/>
  <c r="G10" i="2"/>
  <c r="F10" i="2"/>
  <c r="E10" i="2"/>
  <c r="H30" i="2"/>
  <c r="H46" i="2"/>
  <c r="G7" i="3"/>
  <c r="F7" i="3"/>
  <c r="E7" i="3"/>
  <c r="G31" i="3"/>
  <c r="F31" i="3"/>
  <c r="E31" i="3"/>
  <c r="G2" i="2"/>
  <c r="F2" i="2"/>
  <c r="E2" i="2"/>
  <c r="H23" i="2"/>
  <c r="H39" i="2"/>
  <c r="G4" i="2"/>
  <c r="F4" i="2"/>
  <c r="E4" i="2"/>
  <c r="E8" i="2"/>
  <c r="G16" i="2"/>
  <c r="E25" i="2"/>
  <c r="G25" i="2"/>
  <c r="G33" i="2"/>
  <c r="E33" i="2"/>
  <c r="G41" i="2"/>
  <c r="E41" i="2"/>
  <c r="G49" i="2"/>
  <c r="E49" i="2"/>
  <c r="F5" i="3"/>
  <c r="E5" i="3"/>
  <c r="F13" i="3"/>
  <c r="E13" i="3"/>
  <c r="F21" i="3"/>
  <c r="E21" i="3"/>
  <c r="F29" i="3"/>
  <c r="E29" i="3"/>
  <c r="F37" i="3"/>
  <c r="E37" i="3"/>
  <c r="H8" i="4"/>
  <c r="H32" i="6"/>
  <c r="E9" i="6"/>
  <c r="G9" i="6"/>
  <c r="F9" i="6"/>
  <c r="G11" i="6"/>
  <c r="F11" i="6"/>
  <c r="E11" i="6"/>
  <c r="G18" i="2"/>
  <c r="F18" i="2"/>
  <c r="E18" i="2"/>
  <c r="H19" i="3"/>
  <c r="H20" i="3"/>
  <c r="H28" i="3"/>
  <c r="G3" i="2"/>
  <c r="F3" i="2"/>
  <c r="E3" i="2"/>
  <c r="E9" i="2"/>
  <c r="H14" i="2"/>
  <c r="E16" i="2"/>
  <c r="G24" i="2"/>
  <c r="G26" i="2"/>
  <c r="F26" i="2"/>
  <c r="E26" i="2"/>
  <c r="G32" i="2"/>
  <c r="G34" i="2"/>
  <c r="F34" i="2"/>
  <c r="E34" i="2"/>
  <c r="G40" i="2"/>
  <c r="G42" i="2"/>
  <c r="F42" i="2"/>
  <c r="E42" i="2"/>
  <c r="G48" i="2"/>
  <c r="G50" i="2"/>
  <c r="F50" i="2"/>
  <c r="E50" i="2"/>
  <c r="G6" i="3"/>
  <c r="E6" i="3"/>
  <c r="G14" i="3"/>
  <c r="E14" i="3"/>
  <c r="G22" i="3"/>
  <c r="E22" i="3"/>
  <c r="G30" i="3"/>
  <c r="E30" i="3"/>
  <c r="G38" i="3"/>
  <c r="E38" i="3"/>
  <c r="G42" i="3"/>
  <c r="E42" i="3"/>
  <c r="G12" i="5"/>
  <c r="F12" i="5"/>
  <c r="E12" i="5"/>
  <c r="H11" i="3"/>
  <c r="H27" i="3"/>
  <c r="G11" i="2"/>
  <c r="F11" i="2"/>
  <c r="E11" i="2"/>
  <c r="H4" i="3"/>
  <c r="H12" i="3"/>
  <c r="H36" i="3"/>
  <c r="H15" i="2"/>
  <c r="H16" i="4"/>
  <c r="H51" i="5"/>
  <c r="H7" i="2"/>
  <c r="H3" i="3"/>
  <c r="H35" i="3"/>
  <c r="H14" i="4"/>
  <c r="H6" i="2"/>
  <c r="G8" i="2"/>
  <c r="G17" i="2"/>
  <c r="G19" i="2"/>
  <c r="F19" i="2"/>
  <c r="E19" i="2"/>
  <c r="F24" i="2"/>
  <c r="E24" i="2"/>
  <c r="F32" i="2"/>
  <c r="E32" i="2"/>
  <c r="F40" i="2"/>
  <c r="E40" i="2"/>
  <c r="F48" i="2"/>
  <c r="E48" i="2"/>
  <c r="G3" i="4"/>
  <c r="F3" i="4"/>
  <c r="F18" i="4"/>
  <c r="G18" i="4"/>
  <c r="E37" i="4"/>
  <c r="G37" i="4"/>
  <c r="F37" i="4"/>
  <c r="H21" i="5"/>
  <c r="F20" i="6"/>
  <c r="G11" i="4"/>
  <c r="F11" i="4"/>
  <c r="E11" i="4"/>
  <c r="F42" i="4"/>
  <c r="G42" i="4"/>
  <c r="E42" i="4"/>
  <c r="G49" i="4"/>
  <c r="F49" i="4"/>
  <c r="E49" i="4"/>
  <c r="G51" i="4"/>
  <c r="E51" i="4"/>
  <c r="F51" i="4"/>
  <c r="F7" i="5"/>
  <c r="G7" i="5"/>
  <c r="E7" i="5"/>
  <c r="H11" i="5"/>
  <c r="H19" i="5"/>
  <c r="H20" i="5"/>
  <c r="H41" i="5"/>
  <c r="F46" i="5"/>
  <c r="E46" i="5"/>
  <c r="G20" i="6"/>
  <c r="E20" i="6"/>
  <c r="G38" i="6"/>
  <c r="E38" i="6"/>
  <c r="F46" i="6"/>
  <c r="G46" i="6"/>
  <c r="E46" i="6"/>
  <c r="F9" i="2"/>
  <c r="F17" i="2"/>
  <c r="G2" i="4"/>
  <c r="G24" i="4"/>
  <c r="F24" i="4"/>
  <c r="E32" i="4"/>
  <c r="F36" i="4"/>
  <c r="G36" i="4"/>
  <c r="E36" i="4"/>
  <c r="F44" i="4"/>
  <c r="G44" i="4"/>
  <c r="E44" i="4"/>
  <c r="G3" i="5"/>
  <c r="F3" i="5"/>
  <c r="E3" i="5"/>
  <c r="G5" i="5"/>
  <c r="F5" i="5"/>
  <c r="E5" i="5"/>
  <c r="G13" i="5"/>
  <c r="F13" i="5"/>
  <c r="E13" i="5"/>
  <c r="G32" i="5"/>
  <c r="E32" i="5"/>
  <c r="F32" i="5"/>
  <c r="E34" i="5"/>
  <c r="G34" i="5"/>
  <c r="F34" i="5"/>
  <c r="G36" i="5"/>
  <c r="F36" i="5"/>
  <c r="E36" i="5"/>
  <c r="G38" i="5"/>
  <c r="F38" i="5"/>
  <c r="E38" i="5"/>
  <c r="G44" i="5"/>
  <c r="F44" i="5"/>
  <c r="E44" i="5"/>
  <c r="E27" i="2"/>
  <c r="E35" i="2"/>
  <c r="E43" i="2"/>
  <c r="E51" i="2"/>
  <c r="E8" i="3"/>
  <c r="E16" i="3"/>
  <c r="E24" i="3"/>
  <c r="E32" i="3"/>
  <c r="E44" i="3"/>
  <c r="E3" i="4"/>
  <c r="E18" i="4"/>
  <c r="H31" i="4"/>
  <c r="F32" i="4"/>
  <c r="G46" i="4"/>
  <c r="F46" i="4"/>
  <c r="E46" i="4"/>
  <c r="F10" i="5"/>
  <c r="H40" i="6"/>
  <c r="E12" i="2"/>
  <c r="E20" i="2"/>
  <c r="F27" i="2"/>
  <c r="E28" i="2"/>
  <c r="F35" i="2"/>
  <c r="E36" i="2"/>
  <c r="F43" i="2"/>
  <c r="E44" i="2"/>
  <c r="F51" i="2"/>
  <c r="F8" i="3"/>
  <c r="E9" i="3"/>
  <c r="F16" i="3"/>
  <c r="E17" i="3"/>
  <c r="F24" i="3"/>
  <c r="E25" i="3"/>
  <c r="F32" i="3"/>
  <c r="E33" i="3"/>
  <c r="F44" i="3"/>
  <c r="E45" i="3"/>
  <c r="E46" i="3"/>
  <c r="E47" i="3"/>
  <c r="E48" i="3"/>
  <c r="F49" i="3"/>
  <c r="F5" i="4"/>
  <c r="E5" i="4"/>
  <c r="F13" i="4"/>
  <c r="E13" i="4"/>
  <c r="G23" i="4"/>
  <c r="F23" i="4"/>
  <c r="E24" i="4"/>
  <c r="E15" i="5"/>
  <c r="H43" i="5"/>
  <c r="G10" i="6"/>
  <c r="F10" i="6"/>
  <c r="E10" i="6"/>
  <c r="G12" i="6"/>
  <c r="E12" i="6"/>
  <c r="G19" i="6"/>
  <c r="F19" i="6"/>
  <c r="E19" i="6"/>
  <c r="G29" i="6"/>
  <c r="E29" i="6"/>
  <c r="F29" i="6"/>
  <c r="F12" i="2"/>
  <c r="E13" i="2"/>
  <c r="F20" i="2"/>
  <c r="E21" i="2"/>
  <c r="F28" i="2"/>
  <c r="E29" i="2"/>
  <c r="F36" i="2"/>
  <c r="E37" i="2"/>
  <c r="F44" i="2"/>
  <c r="E45" i="2"/>
  <c r="E2" i="3"/>
  <c r="F9" i="3"/>
  <c r="E10" i="3"/>
  <c r="F17" i="3"/>
  <c r="E18" i="3"/>
  <c r="F25" i="3"/>
  <c r="E26" i="3"/>
  <c r="F33" i="3"/>
  <c r="E34" i="3"/>
  <c r="F45" i="3"/>
  <c r="F46" i="3"/>
  <c r="F47" i="3"/>
  <c r="G48" i="3"/>
  <c r="G49" i="3"/>
  <c r="E2" i="4"/>
  <c r="E17" i="4"/>
  <c r="G19" i="4"/>
  <c r="E19" i="4"/>
  <c r="E20" i="4"/>
  <c r="H29" i="4"/>
  <c r="H40" i="4"/>
  <c r="G48" i="4"/>
  <c r="F48" i="4"/>
  <c r="E48" i="4"/>
  <c r="F50" i="4"/>
  <c r="G50" i="4"/>
  <c r="E50" i="4"/>
  <c r="E2" i="5"/>
  <c r="G2" i="5"/>
  <c r="F2" i="5"/>
  <c r="G4" i="5"/>
  <c r="F4" i="5"/>
  <c r="E4" i="5"/>
  <c r="G6" i="5"/>
  <c r="F6" i="5"/>
  <c r="E6" i="5"/>
  <c r="H9" i="5"/>
  <c r="G45" i="5"/>
  <c r="F45" i="5"/>
  <c r="E45" i="5"/>
  <c r="H2" i="6"/>
  <c r="F21" i="6"/>
  <c r="G39" i="3"/>
  <c r="F40" i="3"/>
  <c r="H40" i="3" s="1"/>
  <c r="E41" i="3"/>
  <c r="G4" i="4"/>
  <c r="F4" i="4"/>
  <c r="E4" i="4"/>
  <c r="F6" i="4"/>
  <c r="E10" i="4"/>
  <c r="G12" i="4"/>
  <c r="F12" i="4"/>
  <c r="E12" i="4"/>
  <c r="F17" i="4"/>
  <c r="G25" i="4"/>
  <c r="F25" i="4"/>
  <c r="H30" i="4"/>
  <c r="G43" i="4"/>
  <c r="E43" i="4"/>
  <c r="F43" i="4"/>
  <c r="E45" i="4"/>
  <c r="G45" i="4"/>
  <c r="F45" i="4"/>
  <c r="F14" i="5"/>
  <c r="E14" i="5"/>
  <c r="F33" i="5"/>
  <c r="G33" i="5"/>
  <c r="E33" i="5"/>
  <c r="F39" i="5"/>
  <c r="G39" i="5"/>
  <c r="E39" i="5"/>
  <c r="G37" i="6"/>
  <c r="E37" i="6"/>
  <c r="F25" i="5"/>
  <c r="F31" i="5"/>
  <c r="F6" i="6"/>
  <c r="E7" i="6"/>
  <c r="G7" i="6"/>
  <c r="F36" i="6"/>
  <c r="G45" i="6"/>
  <c r="E45" i="6"/>
  <c r="G24" i="5"/>
  <c r="E24" i="5"/>
  <c r="G5" i="6"/>
  <c r="E5" i="6"/>
  <c r="E15" i="6"/>
  <c r="G15" i="6"/>
  <c r="G35" i="4"/>
  <c r="E35" i="4"/>
  <c r="E37" i="5"/>
  <c r="E8" i="6"/>
  <c r="E18" i="6"/>
  <c r="E23" i="6"/>
  <c r="G23" i="6"/>
  <c r="E28" i="6"/>
  <c r="F37" i="6"/>
  <c r="F28" i="4"/>
  <c r="H28" i="4" s="1"/>
  <c r="F34" i="4"/>
  <c r="H34" i="4" s="1"/>
  <c r="G16" i="5"/>
  <c r="E16" i="5"/>
  <c r="G22" i="5"/>
  <c r="E25" i="5"/>
  <c r="F26" i="5"/>
  <c r="E27" i="5"/>
  <c r="E31" i="5"/>
  <c r="F37" i="5"/>
  <c r="G48" i="5"/>
  <c r="E48" i="5"/>
  <c r="G3" i="6"/>
  <c r="H3" i="6" s="1"/>
  <c r="E6" i="6"/>
  <c r="F7" i="6"/>
  <c r="G8" i="6"/>
  <c r="E16" i="6"/>
  <c r="F17" i="6"/>
  <c r="F18" i="6"/>
  <c r="F22" i="6"/>
  <c r="H22" i="6" s="1"/>
  <c r="E26" i="6"/>
  <c r="E27" i="6"/>
  <c r="E31" i="6"/>
  <c r="G31" i="6"/>
  <c r="E36" i="6"/>
  <c r="E41" i="6"/>
  <c r="F45" i="6"/>
  <c r="G27" i="4"/>
  <c r="E27" i="4"/>
  <c r="G33" i="4"/>
  <c r="E38" i="4"/>
  <c r="E10" i="5"/>
  <c r="F15" i="5"/>
  <c r="F24" i="5"/>
  <c r="G25" i="5"/>
  <c r="G26" i="5"/>
  <c r="F27" i="5"/>
  <c r="E28" i="5"/>
  <c r="E29" i="5"/>
  <c r="E30" i="5"/>
  <c r="G31" i="5"/>
  <c r="E42" i="5"/>
  <c r="F47" i="5"/>
  <c r="H47" i="5" s="1"/>
  <c r="F5" i="6"/>
  <c r="G6" i="6"/>
  <c r="G13" i="6"/>
  <c r="E13" i="6"/>
  <c r="F15" i="6"/>
  <c r="G16" i="6"/>
  <c r="G17" i="6"/>
  <c r="E24" i="6"/>
  <c r="F25" i="6"/>
  <c r="F26" i="6"/>
  <c r="F27" i="6"/>
  <c r="E34" i="6"/>
  <c r="E35" i="6"/>
  <c r="E39" i="6"/>
  <c r="G39" i="6"/>
  <c r="E44" i="6"/>
  <c r="E48" i="6"/>
  <c r="F48" i="6"/>
  <c r="H50" i="6"/>
  <c r="F20" i="4"/>
  <c r="E21" i="4"/>
  <c r="F26" i="4"/>
  <c r="H26" i="4" s="1"/>
  <c r="F35" i="4"/>
  <c r="E41" i="4"/>
  <c r="G8" i="5"/>
  <c r="E8" i="5"/>
  <c r="G14" i="5"/>
  <c r="E17" i="5"/>
  <c r="F18" i="5"/>
  <c r="E23" i="5"/>
  <c r="F30" i="5"/>
  <c r="G40" i="5"/>
  <c r="E40" i="5"/>
  <c r="G46" i="5"/>
  <c r="E49" i="5"/>
  <c r="F50" i="5"/>
  <c r="E4" i="6"/>
  <c r="F12" i="6"/>
  <c r="E14" i="6"/>
  <c r="G21" i="6"/>
  <c r="E21" i="6"/>
  <c r="F23" i="6"/>
  <c r="G24" i="6"/>
  <c r="G25" i="6"/>
  <c r="F33" i="6"/>
  <c r="H33" i="6" s="1"/>
  <c r="F35" i="6"/>
  <c r="F38" i="6"/>
  <c r="H42" i="6"/>
  <c r="E43" i="6"/>
  <c r="F47" i="6"/>
  <c r="E47" i="6"/>
  <c r="G47" i="6"/>
  <c r="F49" i="6"/>
  <c r="H49" i="6" s="1"/>
  <c r="H51" i="6"/>
  <c r="H30" i="6" l="1"/>
  <c r="H15" i="4"/>
  <c r="H50" i="3"/>
  <c r="H18" i="5"/>
  <c r="H31" i="5"/>
  <c r="H32" i="5"/>
  <c r="H49" i="4"/>
  <c r="H42" i="2"/>
  <c r="H47" i="6"/>
  <c r="H50" i="5"/>
  <c r="H17" i="5"/>
  <c r="H35" i="6"/>
  <c r="H30" i="5"/>
  <c r="H10" i="5"/>
  <c r="H27" i="5"/>
  <c r="H37" i="5"/>
  <c r="H7" i="6"/>
  <c r="H45" i="4"/>
  <c r="H48" i="4"/>
  <c r="H19" i="4"/>
  <c r="H10" i="3"/>
  <c r="H19" i="6"/>
  <c r="H13" i="4"/>
  <c r="H45" i="3"/>
  <c r="H9" i="3"/>
  <c r="H46" i="4"/>
  <c r="H3" i="4"/>
  <c r="H35" i="2"/>
  <c r="H36" i="5"/>
  <c r="H3" i="5"/>
  <c r="H46" i="6"/>
  <c r="H32" i="2"/>
  <c r="H11" i="2"/>
  <c r="H18" i="2"/>
  <c r="H37" i="3"/>
  <c r="H5" i="3"/>
  <c r="H17" i="2"/>
  <c r="H39" i="6"/>
  <c r="H45" i="5"/>
  <c r="H29" i="2"/>
  <c r="H28" i="2"/>
  <c r="H26" i="2"/>
  <c r="H13" i="6"/>
  <c r="H33" i="5"/>
  <c r="H12" i="4"/>
  <c r="H41" i="3"/>
  <c r="H21" i="2"/>
  <c r="H20" i="2"/>
  <c r="H44" i="3"/>
  <c r="H27" i="2"/>
  <c r="H26" i="5"/>
  <c r="H7" i="5"/>
  <c r="H38" i="3"/>
  <c r="H6" i="3"/>
  <c r="H9" i="6"/>
  <c r="H25" i="2"/>
  <c r="H7" i="3"/>
  <c r="H39" i="3"/>
  <c r="H8" i="6"/>
  <c r="H4" i="5"/>
  <c r="H46" i="5"/>
  <c r="H12" i="5"/>
  <c r="H29" i="5"/>
  <c r="H43" i="6"/>
  <c r="H8" i="5"/>
  <c r="H6" i="6"/>
  <c r="H17" i="4"/>
  <c r="H34" i="3"/>
  <c r="H2" i="3"/>
  <c r="H5" i="4"/>
  <c r="H33" i="3"/>
  <c r="H12" i="2"/>
  <c r="H32" i="3"/>
  <c r="H44" i="5"/>
  <c r="H13" i="5"/>
  <c r="H32" i="4"/>
  <c r="H42" i="4"/>
  <c r="H24" i="2"/>
  <c r="H25" i="4"/>
  <c r="H29" i="3"/>
  <c r="H49" i="2"/>
  <c r="H10" i="2"/>
  <c r="H22" i="5"/>
  <c r="H23" i="3"/>
  <c r="H21" i="4"/>
  <c r="H36" i="6"/>
  <c r="H20" i="4"/>
  <c r="H18" i="4"/>
  <c r="H38" i="4"/>
  <c r="H24" i="5"/>
  <c r="H21" i="6"/>
  <c r="H28" i="5"/>
  <c r="H27" i="6"/>
  <c r="H25" i="5"/>
  <c r="H43" i="4"/>
  <c r="H40" i="5"/>
  <c r="H27" i="4"/>
  <c r="H26" i="6"/>
  <c r="H28" i="6"/>
  <c r="H45" i="6"/>
  <c r="H2" i="4"/>
  <c r="H45" i="2"/>
  <c r="H13" i="2"/>
  <c r="H12" i="6"/>
  <c r="H44" i="2"/>
  <c r="H33" i="4"/>
  <c r="H24" i="3"/>
  <c r="H44" i="4"/>
  <c r="H38" i="6"/>
  <c r="H30" i="3"/>
  <c r="H50" i="2"/>
  <c r="H34" i="2"/>
  <c r="H16" i="2"/>
  <c r="H8" i="2"/>
  <c r="H2" i="2"/>
  <c r="H14" i="3"/>
  <c r="H35" i="5"/>
  <c r="H48" i="6"/>
  <c r="H14" i="5"/>
  <c r="H10" i="4"/>
  <c r="H6" i="5"/>
  <c r="H2" i="5"/>
  <c r="H26" i="3"/>
  <c r="H15" i="5"/>
  <c r="H25" i="3"/>
  <c r="H16" i="3"/>
  <c r="H48" i="2"/>
  <c r="H19" i="2"/>
  <c r="H23" i="4"/>
  <c r="H49" i="3"/>
  <c r="H11" i="6"/>
  <c r="H21" i="3"/>
  <c r="H41" i="2"/>
  <c r="H4" i="2"/>
  <c r="H47" i="4"/>
  <c r="H22" i="4"/>
  <c r="H4" i="6"/>
  <c r="H5" i="6"/>
  <c r="H46" i="3"/>
  <c r="H43" i="2"/>
  <c r="H3" i="2"/>
  <c r="H43" i="3"/>
  <c r="H49" i="5"/>
  <c r="H34" i="6"/>
  <c r="H31" i="6"/>
  <c r="H35" i="4"/>
  <c r="H17" i="6"/>
  <c r="H41" i="4"/>
  <c r="H25" i="6"/>
  <c r="H48" i="5"/>
  <c r="H16" i="5"/>
  <c r="H37" i="6"/>
  <c r="H14" i="6"/>
  <c r="H44" i="6"/>
  <c r="H24" i="6"/>
  <c r="H23" i="6"/>
  <c r="H6" i="4"/>
  <c r="H50" i="4"/>
  <c r="H37" i="2"/>
  <c r="H10" i="6"/>
  <c r="H24" i="4"/>
  <c r="H48" i="3"/>
  <c r="H36" i="2"/>
  <c r="H8" i="3"/>
  <c r="H38" i="5"/>
  <c r="H34" i="5"/>
  <c r="H5" i="5"/>
  <c r="H20" i="6"/>
  <c r="H51" i="4"/>
  <c r="H42" i="3"/>
  <c r="H22" i="3"/>
  <c r="H15" i="3"/>
  <c r="H16" i="6"/>
  <c r="H23" i="5"/>
  <c r="H42" i="5"/>
  <c r="H41" i="6"/>
  <c r="H18" i="6"/>
  <c r="H15" i="6"/>
  <c r="H39" i="5"/>
  <c r="H4" i="4"/>
  <c r="H18" i="3"/>
  <c r="H29" i="6"/>
  <c r="H47" i="3"/>
  <c r="H17" i="3"/>
  <c r="H51" i="2"/>
  <c r="H36" i="4"/>
  <c r="H11" i="4"/>
  <c r="H37" i="4"/>
  <c r="H40" i="2"/>
  <c r="H9" i="2"/>
  <c r="H13" i="3"/>
  <c r="H33" i="2"/>
  <c r="H31" i="3"/>
</calcChain>
</file>

<file path=xl/sharedStrings.xml><?xml version="1.0" encoding="utf-8"?>
<sst xmlns="http://schemas.openxmlformats.org/spreadsheetml/2006/main" count="103" uniqueCount="67">
  <si>
    <t>ID_Pelanggan</t>
  </si>
  <si>
    <t>No</t>
  </si>
  <si>
    <t>Frekuensi_Kunjungan</t>
  </si>
  <si>
    <t>Total_Belanja_Rp</t>
  </si>
  <si>
    <t>Rata_Rata_Belanja_Rp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</si>
  <si>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</si>
  <si>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</si>
  <si>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</si>
  <si>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</si>
  <si>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</si>
  <si>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</si>
  <si>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</si>
  <si>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</si>
  <si>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</si>
  <si>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</si>
  <si>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</si>
  <si>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</si>
  <si>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</si>
  <si>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</si>
  <si>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</si>
  <si>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</si>
  <si>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</si>
  <si>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</si>
  <si>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</si>
  <si>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</si>
  <si>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</si>
  <si>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</si>
  <si>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</si>
  <si>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</si>
  <si>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</si>
  <si>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</si>
  <si>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</si>
  <si>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</si>
  <si>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</si>
  <si>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</si>
  <si>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</si>
  <si>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</si>
  <si>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</si>
  <si>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</si>
  <si>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</si>
  <si>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</si>
  <si>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</si>
  <si>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</si>
  <si>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</si>
  <si>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</si>
  <si>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</si>
  <si>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</si>
  <si>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</si>
  <si>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</si>
  <si>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</si>
  <si>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</si>
  <si>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</si>
  <si>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</si>
  <si>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</si>
  <si>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</si>
  <si>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ID</t>
  </si>
  <si>
    <t>Frekuensi</t>
  </si>
  <si>
    <t>Total_Belanja</t>
  </si>
  <si>
    <t>Rata_Rata</t>
  </si>
  <si>
    <t>Jarak_C1</t>
  </si>
  <si>
    <t>Jarak_C2</t>
  </si>
  <si>
    <t>Jarak_C3</t>
  </si>
  <si>
    <t>Cluster</t>
  </si>
  <si>
    <t>Centroid</t>
  </si>
  <si>
    <t>Centroid Iterasi 3 (diupdate dari Iterasi 2)</t>
  </si>
  <si>
    <t>Centroid Iterasi 4 (diupdate dari Iterasi 3)</t>
  </si>
  <si>
    <t>Centroid Iterasi 5 (diupdate dari Iterasi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</si>
</sst>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3" borderId="0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opLeftCell="A38" workbookViewId="0">
      <selection activeCell="D53" sqref="D53"/>
    </sheetView>
  </sheetViews>
  <sheetFormatPr defaultRowHeight="14.5" x14ac:dyDescent="0.35"/>
  <cols>
    <col min="1" max="1" width="14" customWidth="1"/>
    <col min="2" max="2" width="4" customWidth="1"/>
    <col min="3" max="3" width="21" customWidth="1"/>
    <col min="4" max="4" width="18" customWidth="1"/>
    <col min="5" max="5" width="22" customWidth="1"/>
    <col min="6" max="12" width="2" customWidth="1"/>
  </cols>
  <sheetData>
    <row r="1" spans="1:12" x14ac:dyDescent="0.35">
      <c r="J1" s="2"/>
      <c r="K1" s="2"/>
      <c r="L1" s="2"/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J2" s="2"/>
      <c r="K2" s="2"/>
      <c r="L2" s="2"/>
    </row>
    <row r="3" spans="1:12" x14ac:dyDescent="0.35">
      <c r="A3" t="s">
        <v>5</v>
      </c>
      <c r="B3">
        <v>1</v>
      </c>
      <c r="C3">
        <v>1</v>
      </c>
      <c r="D3">
        <v>50000</v>
      </c>
      <c r="E3">
        <v>50000</v>
      </c>
      <c r="J3" s="2"/>
      <c r="K3" s="2"/>
      <c r="L3" s="2"/>
    </row>
    <row r="4" spans="1:12" x14ac:dyDescent="0.35">
      <c r="A4" t="s">
        <v>6</v>
      </c>
      <c r="B4">
        <v>2</v>
      </c>
      <c r="C4">
        <v>2</v>
      </c>
      <c r="D4">
        <v>90000</v>
      </c>
      <c r="E4">
        <v>45000</v>
      </c>
      <c r="J4" s="2"/>
      <c r="K4" s="2"/>
      <c r="L4" s="2"/>
    </row>
    <row r="5" spans="1:12" x14ac:dyDescent="0.35">
      <c r="A5" t="s">
        <v>7</v>
      </c>
      <c r="B5">
        <v>3</v>
      </c>
      <c r="C5">
        <v>2</v>
      </c>
      <c r="D5">
        <v>100000</v>
      </c>
      <c r="E5">
        <v>50000</v>
      </c>
      <c r="J5" s="2"/>
      <c r="K5" s="2"/>
      <c r="L5" s="2"/>
    </row>
    <row r="6" spans="1:12" x14ac:dyDescent="0.35">
      <c r="A6" t="s">
        <v>8</v>
      </c>
      <c r="B6">
        <v>4</v>
      </c>
      <c r="C6">
        <v>3</v>
      </c>
      <c r="D6">
        <v>135000</v>
      </c>
      <c r="E6">
        <v>45000</v>
      </c>
      <c r="J6" s="2"/>
      <c r="K6" s="2"/>
      <c r="L6" s="2"/>
    </row>
    <row r="7" spans="1:12" x14ac:dyDescent="0.35">
      <c r="A7" t="s">
        <v>9</v>
      </c>
      <c r="B7">
        <v>5</v>
      </c>
      <c r="C7">
        <v>3</v>
      </c>
      <c r="D7">
        <v>150000</v>
      </c>
      <c r="E7">
        <v>50000</v>
      </c>
    </row>
    <row r="8" spans="1:12" x14ac:dyDescent="0.35">
      <c r="A8" t="s">
        <v>10</v>
      </c>
      <c r="B8">
        <v>6</v>
      </c>
      <c r="C8">
        <v>4</v>
      </c>
      <c r="D8">
        <v>180000</v>
      </c>
      <c r="E8">
        <v>45000</v>
      </c>
    </row>
    <row r="9" spans="1:12" x14ac:dyDescent="0.35">
      <c r="A9" t="s">
        <v>11</v>
      </c>
      <c r="B9">
        <v>7</v>
      </c>
      <c r="C9">
        <v>4</v>
      </c>
      <c r="D9">
        <v>200000</v>
      </c>
      <c r="E9">
        <v>50000</v>
      </c>
    </row>
    <row r="10" spans="1:12" x14ac:dyDescent="0.35">
      <c r="A10" t="s">
        <v>12</v>
      </c>
      <c r="B10">
        <v>8</v>
      </c>
      <c r="C10">
        <v>5</v>
      </c>
      <c r="D10">
        <v>225000</v>
      </c>
      <c r="E10">
        <v>45000</v>
      </c>
    </row>
    <row r="11" spans="1:12" x14ac:dyDescent="0.35">
      <c r="A11" t="s">
        <v>13</v>
      </c>
      <c r="B11">
        <v>9</v>
      </c>
      <c r="C11">
        <v>5</v>
      </c>
      <c r="D11">
        <v>250000</v>
      </c>
      <c r="E11">
        <v>50000</v>
      </c>
    </row>
    <row r="12" spans="1:12" x14ac:dyDescent="0.35">
      <c r="A12" t="s">
        <v>14</v>
      </c>
      <c r="B12">
        <v>10</v>
      </c>
      <c r="C12">
        <v>6</v>
      </c>
      <c r="D12">
        <v>300000</v>
      </c>
      <c r="E12">
        <v>50000</v>
      </c>
    </row>
    <row r="13" spans="1:12" x14ac:dyDescent="0.35">
      <c r="A13" t="s">
        <v>15</v>
      </c>
      <c r="B13">
        <v>11</v>
      </c>
      <c r="C13">
        <v>6</v>
      </c>
      <c r="D13">
        <v>330000</v>
      </c>
      <c r="E13">
        <v>55000</v>
      </c>
    </row>
    <row r="14" spans="1:12" x14ac:dyDescent="0.35">
      <c r="A14" t="s">
        <v>16</v>
      </c>
      <c r="B14">
        <v>12</v>
      </c>
      <c r="C14">
        <v>7</v>
      </c>
      <c r="D14">
        <v>385000</v>
      </c>
      <c r="E14">
        <v>55000</v>
      </c>
    </row>
    <row r="15" spans="1:12" x14ac:dyDescent="0.35">
      <c r="A15" t="s">
        <v>17</v>
      </c>
      <c r="B15">
        <v>13</v>
      </c>
      <c r="C15">
        <v>8</v>
      </c>
      <c r="D15">
        <v>440000</v>
      </c>
      <c r="E15">
        <v>55000</v>
      </c>
    </row>
    <row r="16" spans="1:12" x14ac:dyDescent="0.35">
      <c r="A16" t="s">
        <v>18</v>
      </c>
      <c r="B16">
        <v>14</v>
      </c>
      <c r="C16">
        <v>9</v>
      </c>
      <c r="D16">
        <v>495000</v>
      </c>
      <c r="E16">
        <v>55000</v>
      </c>
    </row>
    <row r="17" spans="1:5" x14ac:dyDescent="0.35">
      <c r="A17" t="s">
        <v>19</v>
      </c>
      <c r="B17">
        <v>15</v>
      </c>
      <c r="C17">
        <v>10</v>
      </c>
      <c r="D17">
        <v>550000</v>
      </c>
      <c r="E17">
        <v>55000</v>
      </c>
    </row>
    <row r="18" spans="1:5" x14ac:dyDescent="0.35">
      <c r="A18" t="s">
        <v>20</v>
      </c>
      <c r="B18">
        <v>16</v>
      </c>
      <c r="C18">
        <v>11</v>
      </c>
      <c r="D18">
        <v>605000</v>
      </c>
      <c r="E18">
        <v>55000</v>
      </c>
    </row>
    <row r="19" spans="1:5" x14ac:dyDescent="0.35">
      <c r="A19" t="s">
        <v>21</v>
      </c>
      <c r="B19">
        <v>17</v>
      </c>
      <c r="C19">
        <v>12</v>
      </c>
      <c r="D19">
        <v>660000</v>
      </c>
      <c r="E19">
        <v>55000</v>
      </c>
    </row>
    <row r="20" spans="1:5" x14ac:dyDescent="0.35">
      <c r="A20" t="s">
        <v>22</v>
      </c>
      <c r="B20">
        <v>18</v>
      </c>
      <c r="C20">
        <v>13</v>
      </c>
      <c r="D20">
        <v>715000</v>
      </c>
      <c r="E20">
        <v>55000</v>
      </c>
    </row>
    <row r="21" spans="1:5" x14ac:dyDescent="0.35">
      <c r="A21" t="s">
        <v>23</v>
      </c>
      <c r="B21">
        <v>19</v>
      </c>
      <c r="C21">
        <v>14</v>
      </c>
      <c r="D21">
        <v>770000</v>
      </c>
      <c r="E21">
        <v>55000</v>
      </c>
    </row>
    <row r="22" spans="1:5" x14ac:dyDescent="0.35">
      <c r="A22" t="s">
        <v>24</v>
      </c>
      <c r="B22">
        <v>20</v>
      </c>
      <c r="C22">
        <v>15</v>
      </c>
      <c r="D22">
        <v>825000</v>
      </c>
      <c r="E22">
        <v>55000</v>
      </c>
    </row>
    <row r="23" spans="1:5" x14ac:dyDescent="0.35">
      <c r="A23" t="s">
        <v>25</v>
      </c>
      <c r="B23">
        <v>21</v>
      </c>
      <c r="C23">
        <v>16</v>
      </c>
      <c r="D23">
        <v>880000</v>
      </c>
      <c r="E23">
        <v>55000</v>
      </c>
    </row>
    <row r="24" spans="1:5" x14ac:dyDescent="0.35">
      <c r="A24" t="s">
        <v>26</v>
      </c>
      <c r="B24">
        <v>22</v>
      </c>
      <c r="C24">
        <v>17</v>
      </c>
      <c r="D24">
        <v>935000</v>
      </c>
      <c r="E24">
        <v>55000</v>
      </c>
    </row>
    <row r="25" spans="1:5" x14ac:dyDescent="0.35">
      <c r="A25" t="s">
        <v>27</v>
      </c>
      <c r="B25">
        <v>23</v>
      </c>
      <c r="C25">
        <v>18</v>
      </c>
      <c r="D25">
        <v>990000</v>
      </c>
      <c r="E25">
        <v>55000</v>
      </c>
    </row>
    <row r="26" spans="1:5" x14ac:dyDescent="0.35">
      <c r="A26" t="s">
        <v>28</v>
      </c>
      <c r="B26">
        <v>24</v>
      </c>
      <c r="C26">
        <v>19</v>
      </c>
      <c r="D26">
        <v>1045000</v>
      </c>
      <c r="E26">
        <v>55000</v>
      </c>
    </row>
    <row r="27" spans="1:5" x14ac:dyDescent="0.35">
      <c r="A27" t="s">
        <v>29</v>
      </c>
      <c r="B27">
        <v>25</v>
      </c>
      <c r="C27">
        <v>20</v>
      </c>
      <c r="D27">
        <v>1100000</v>
      </c>
      <c r="E27">
        <v>55000</v>
      </c>
    </row>
    <row r="28" spans="1:5" x14ac:dyDescent="0.35">
      <c r="A28" t="s">
        <v>30</v>
      </c>
      <c r="B28">
        <v>26</v>
      </c>
      <c r="C28">
        <v>22</v>
      </c>
      <c r="D28">
        <v>1210000</v>
      </c>
      <c r="E28">
        <v>55000</v>
      </c>
    </row>
    <row r="29" spans="1:5" x14ac:dyDescent="0.35">
      <c r="A29" t="s">
        <v>31</v>
      </c>
      <c r="B29">
        <v>27</v>
      </c>
      <c r="C29">
        <v>24</v>
      </c>
      <c r="D29">
        <v>1320000</v>
      </c>
      <c r="E29">
        <v>55000</v>
      </c>
    </row>
    <row r="30" spans="1:5" x14ac:dyDescent="0.35">
      <c r="A30" t="s">
        <v>32</v>
      </c>
      <c r="B30">
        <v>28</v>
      </c>
      <c r="C30">
        <v>26</v>
      </c>
      <c r="D30">
        <v>1430000</v>
      </c>
      <c r="E30">
        <v>55000</v>
      </c>
    </row>
    <row r="31" spans="1:5" x14ac:dyDescent="0.35">
      <c r="A31" t="s">
        <v>33</v>
      </c>
      <c r="B31">
        <v>29</v>
      </c>
      <c r="C31">
        <v>28</v>
      </c>
      <c r="D31">
        <v>1540000</v>
      </c>
      <c r="E31">
        <v>55000</v>
      </c>
    </row>
    <row r="32" spans="1:5" x14ac:dyDescent="0.35">
      <c r="A32" t="s">
        <v>34</v>
      </c>
      <c r="B32">
        <v>30</v>
      </c>
      <c r="C32">
        <v>30</v>
      </c>
      <c r="D32">
        <v>1650000</v>
      </c>
      <c r="E32">
        <v>55000</v>
      </c>
    </row>
    <row r="33" spans="1:5" x14ac:dyDescent="0.35">
      <c r="A33" t="s">
        <v>35</v>
      </c>
      <c r="B33">
        <v>31</v>
      </c>
      <c r="C33">
        <v>32</v>
      </c>
      <c r="D33">
        <v>1760000</v>
      </c>
      <c r="E33">
        <v>55000</v>
      </c>
    </row>
    <row r="34" spans="1:5" x14ac:dyDescent="0.35">
      <c r="A34" t="s">
        <v>36</v>
      </c>
      <c r="B34">
        <v>32</v>
      </c>
      <c r="C34">
        <v>34</v>
      </c>
      <c r="D34">
        <v>1870000</v>
      </c>
      <c r="E34">
        <v>55000</v>
      </c>
    </row>
    <row r="35" spans="1:5" x14ac:dyDescent="0.35">
      <c r="A35" t="s">
        <v>37</v>
      </c>
      <c r="B35">
        <v>33</v>
      </c>
      <c r="C35">
        <v>36</v>
      </c>
      <c r="D35">
        <v>1980000</v>
      </c>
      <c r="E35">
        <v>55000</v>
      </c>
    </row>
    <row r="36" spans="1:5" x14ac:dyDescent="0.35">
      <c r="A36" t="s">
        <v>38</v>
      </c>
      <c r="B36">
        <v>34</v>
      </c>
      <c r="C36">
        <v>38</v>
      </c>
      <c r="D36">
        <v>2090000</v>
      </c>
      <c r="E36">
        <v>55000</v>
      </c>
    </row>
    <row r="37" spans="1:5" x14ac:dyDescent="0.35">
      <c r="A37" t="s">
        <v>39</v>
      </c>
      <c r="B37">
        <v>35</v>
      </c>
      <c r="C37">
        <v>40</v>
      </c>
      <c r="D37">
        <v>2200000</v>
      </c>
      <c r="E37">
        <v>55000</v>
      </c>
    </row>
    <row r="38" spans="1:5" x14ac:dyDescent="0.35">
      <c r="A38" t="s">
        <v>40</v>
      </c>
      <c r="B38">
        <v>36</v>
      </c>
      <c r="C38">
        <v>42</v>
      </c>
      <c r="D38">
        <v>2310000</v>
      </c>
      <c r="E38">
        <v>55000</v>
      </c>
    </row>
    <row r="39" spans="1:5" x14ac:dyDescent="0.35">
      <c r="A39" t="s">
        <v>41</v>
      </c>
      <c r="B39">
        <v>37</v>
      </c>
      <c r="C39">
        <v>44</v>
      </c>
      <c r="D39">
        <v>2420000</v>
      </c>
      <c r="E39">
        <v>55000</v>
      </c>
    </row>
    <row r="40" spans="1:5" x14ac:dyDescent="0.35">
      <c r="A40" t="s">
        <v>42</v>
      </c>
      <c r="B40">
        <v>38</v>
      </c>
      <c r="C40">
        <v>46</v>
      </c>
      <c r="D40">
        <v>2530000</v>
      </c>
      <c r="E40">
        <v>55000</v>
      </c>
    </row>
    <row r="41" spans="1:5" x14ac:dyDescent="0.35">
      <c r="A41" t="s">
        <v>43</v>
      </c>
      <c r="B41">
        <v>39</v>
      </c>
      <c r="C41">
        <v>48</v>
      </c>
      <c r="D41">
        <v>2640000</v>
      </c>
      <c r="E41">
        <v>55000</v>
      </c>
    </row>
    <row r="42" spans="1:5" x14ac:dyDescent="0.35">
      <c r="A42" t="s">
        <v>44</v>
      </c>
      <c r="B42">
        <v>40</v>
      </c>
      <c r="C42">
        <v>50</v>
      </c>
      <c r="D42">
        <v>2750000</v>
      </c>
      <c r="E42">
        <v>55000</v>
      </c>
    </row>
    <row r="43" spans="1:5" x14ac:dyDescent="0.35">
      <c r="A43" t="s">
        <v>45</v>
      </c>
      <c r="B43">
        <v>41</v>
      </c>
      <c r="C43">
        <v>52</v>
      </c>
      <c r="D43">
        <v>2860000</v>
      </c>
      <c r="E43">
        <v>55000</v>
      </c>
    </row>
    <row r="44" spans="1:5" x14ac:dyDescent="0.35">
      <c r="A44" t="s">
        <v>46</v>
      </c>
      <c r="B44">
        <v>42</v>
      </c>
      <c r="C44">
        <v>54</v>
      </c>
      <c r="D44">
        <v>2970000</v>
      </c>
      <c r="E44">
        <v>55000</v>
      </c>
    </row>
    <row r="45" spans="1:5" x14ac:dyDescent="0.35">
      <c r="A45" t="s">
        <v>47</v>
      </c>
      <c r="B45">
        <v>43</v>
      </c>
      <c r="C45">
        <v>56</v>
      </c>
      <c r="D45">
        <v>3080000</v>
      </c>
      <c r="E45">
        <v>55000</v>
      </c>
    </row>
    <row r="46" spans="1:5" x14ac:dyDescent="0.35">
      <c r="A46" t="s">
        <v>48</v>
      </c>
      <c r="B46">
        <v>44</v>
      </c>
      <c r="C46">
        <v>58</v>
      </c>
      <c r="D46">
        <v>3190000</v>
      </c>
      <c r="E46">
        <v>55000</v>
      </c>
    </row>
    <row r="47" spans="1:5" x14ac:dyDescent="0.35">
      <c r="A47" t="s">
        <v>49</v>
      </c>
      <c r="B47">
        <v>45</v>
      </c>
      <c r="C47">
        <v>60</v>
      </c>
      <c r="D47">
        <v>3300000</v>
      </c>
      <c r="E47">
        <v>55000</v>
      </c>
    </row>
    <row r="48" spans="1:5" x14ac:dyDescent="0.35">
      <c r="A48" t="s">
        <v>50</v>
      </c>
      <c r="B48">
        <v>46</v>
      </c>
      <c r="C48">
        <v>62</v>
      </c>
      <c r="D48">
        <v>3410000</v>
      </c>
      <c r="E48">
        <v>55000</v>
      </c>
    </row>
    <row r="49" spans="1:5" x14ac:dyDescent="0.35">
      <c r="A49" t="s">
        <v>51</v>
      </c>
      <c r="B49">
        <v>47</v>
      </c>
      <c r="C49">
        <v>64</v>
      </c>
      <c r="D49">
        <v>3520000</v>
      </c>
      <c r="E49">
        <v>55000</v>
      </c>
    </row>
    <row r="50" spans="1:5" x14ac:dyDescent="0.35">
      <c r="A50" t="s">
        <v>52</v>
      </c>
      <c r="B50">
        <v>48</v>
      </c>
      <c r="C50">
        <v>66</v>
      </c>
      <c r="D50">
        <v>3630000</v>
      </c>
      <c r="E50">
        <v>55000</v>
      </c>
    </row>
    <row r="51" spans="1:5" x14ac:dyDescent="0.35">
      <c r="A51" t="s">
        <v>53</v>
      </c>
      <c r="B51">
        <v>49</v>
      </c>
      <c r="C51">
        <v>68</v>
      </c>
      <c r="D51">
        <v>3740000</v>
      </c>
      <c r="E51">
        <v>55000</v>
      </c>
    </row>
    <row r="52" spans="1:5" x14ac:dyDescent="0.35">
      <c r="A52" t="s">
        <v>54</v>
      </c>
      <c r="B52">
        <v>50</v>
      </c>
      <c r="C52">
        <v>70</v>
      </c>
      <c r="D52">
        <v>3850000</v>
      </c>
      <c r="E52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selection activeCell="J14" sqref="J14"/>
    </sheetView>
  </sheetViews>
  <sheetFormatPr defaultRowHeight="14.5" x14ac:dyDescent="0.35"/>
  <cols>
    <col min="1" max="1" width="3.81640625" style="9" bestFit="1" customWidth="1"/>
    <col min="2" max="2" width="8.90625" style="9" bestFit="1" customWidth="1"/>
    <col min="3" max="3" width="12.26953125" style="9" bestFit="1" customWidth="1"/>
    <col min="4" max="4" width="9.453125" style="9" bestFit="1" customWidth="1"/>
    <col min="5" max="7" width="11.81640625" style="9" bestFit="1" customWidth="1"/>
    <col min="8" max="8" width="8.26953125" style="9" bestFit="1" customWidth="1"/>
    <col min="9" max="9" width="11.81640625" style="9" bestFit="1" customWidth="1"/>
    <col min="10" max="10" width="10" style="9" customWidth="1"/>
    <col min="11" max="11" width="8" style="9" customWidth="1"/>
    <col min="12" max="12" width="7" style="9" customWidth="1"/>
    <col min="13" max="16384" width="8.7265625" style="9"/>
  </cols>
  <sheetData>
    <row r="1" spans="1:12" x14ac:dyDescent="0.3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7"/>
      <c r="J1" s="8" t="s">
        <v>63</v>
      </c>
      <c r="K1" s="8"/>
      <c r="L1" s="8"/>
    </row>
    <row r="2" spans="1:12" x14ac:dyDescent="0.35">
      <c r="A2" s="10" t="str">
        <f>Dataset_Rapi!A3</f>
        <v>P01</v>
      </c>
      <c r="B2" s="11">
        <f>Dataset_Rapi!B3</f>
        <v>1</v>
      </c>
      <c r="C2" s="12">
        <f>Dataset_Rapi!C3</f>
        <v>1</v>
      </c>
      <c r="D2" s="13">
        <f>Dataset_Rapi!D3</f>
        <v>50000</v>
      </c>
      <c r="E2" s="14">
        <f t="shared" ref="E2:E33" si="0">SQRT((B2-$J$2)^2+(C2-$K$2)^2+(D2-$L$2)^2)</f>
        <v>200248.84523262549</v>
      </c>
      <c r="F2" s="14">
        <f t="shared" ref="F2:F33" si="1">SQRT((B2-$J$3)^2+(C2-$K$3)^2+(D2-$L$3)^2)</f>
        <v>500098.99028292391</v>
      </c>
      <c r="G2" s="14">
        <f t="shared" ref="G2:G33" si="2">SQRT((B2-$J$4)^2+(C2-$K$4)^2+(D2-$L$4)^2)</f>
        <v>800561.30320981669</v>
      </c>
      <c r="H2" s="15">
        <f t="shared" ref="H2:H33" si="3">MATCH(MIN(E2:G2),E2:G2,0)</f>
        <v>1</v>
      </c>
      <c r="J2" s="16">
        <v>5</v>
      </c>
      <c r="K2" s="16">
        <v>200000</v>
      </c>
      <c r="L2" s="16">
        <v>40000</v>
      </c>
    </row>
    <row r="3" spans="1:12" x14ac:dyDescent="0.35">
      <c r="A3" s="10" t="str">
        <f>Dataset_Rapi!A4</f>
        <v>P02</v>
      </c>
      <c r="B3" s="11">
        <f>Dataset_Rapi!B4</f>
        <v>2</v>
      </c>
      <c r="C3" s="12">
        <f>Dataset_Rapi!C4</f>
        <v>2</v>
      </c>
      <c r="D3" s="13">
        <f>Dataset_Rapi!D4</f>
        <v>90000</v>
      </c>
      <c r="E3" s="14">
        <f t="shared" si="0"/>
        <v>206153.34101828182</v>
      </c>
      <c r="F3" s="14">
        <f t="shared" si="1"/>
        <v>500897.19510893652</v>
      </c>
      <c r="G3" s="14">
        <f t="shared" si="2"/>
        <v>800060.49782063358</v>
      </c>
      <c r="H3" s="15">
        <f t="shared" si="3"/>
        <v>1</v>
      </c>
      <c r="J3" s="16">
        <v>10</v>
      </c>
      <c r="K3" s="16">
        <v>500000</v>
      </c>
      <c r="L3" s="16">
        <v>60000</v>
      </c>
    </row>
    <row r="4" spans="1:12" x14ac:dyDescent="0.35">
      <c r="A4" s="10" t="str">
        <f>Dataset_Rapi!A5</f>
        <v>P03</v>
      </c>
      <c r="B4" s="11">
        <f>Dataset_Rapi!B5</f>
        <v>3</v>
      </c>
      <c r="C4" s="12">
        <f>Dataset_Rapi!C5</f>
        <v>2</v>
      </c>
      <c r="D4" s="13">
        <f>Dataset_Rapi!D5</f>
        <v>100000</v>
      </c>
      <c r="E4" s="14">
        <f t="shared" si="0"/>
        <v>208804.21453600979</v>
      </c>
      <c r="F4" s="14">
        <f t="shared" si="1"/>
        <v>501595.45457769051</v>
      </c>
      <c r="G4" s="14">
        <f t="shared" si="2"/>
        <v>800247.96166438307</v>
      </c>
      <c r="H4" s="15">
        <f t="shared" si="3"/>
        <v>1</v>
      </c>
      <c r="J4" s="16">
        <v>15</v>
      </c>
      <c r="K4" s="16">
        <v>800000</v>
      </c>
      <c r="L4" s="16">
        <v>80000</v>
      </c>
    </row>
    <row r="5" spans="1:12" x14ac:dyDescent="0.35">
      <c r="A5" s="10" t="str">
        <f>Dataset_Rapi!A6</f>
        <v>P04</v>
      </c>
      <c r="B5" s="11">
        <f>Dataset_Rapi!B6</f>
        <v>4</v>
      </c>
      <c r="C5" s="12">
        <f>Dataset_Rapi!C6</f>
        <v>3</v>
      </c>
      <c r="D5" s="13">
        <f>Dataset_Rapi!D6</f>
        <v>135000</v>
      </c>
      <c r="E5" s="14">
        <f t="shared" si="0"/>
        <v>221413.18842833189</v>
      </c>
      <c r="F5" s="14">
        <f t="shared" si="1"/>
        <v>505590.74363065627</v>
      </c>
      <c r="G5" s="14">
        <f t="shared" si="2"/>
        <v>801885.40336509433</v>
      </c>
      <c r="H5" s="15">
        <f t="shared" si="3"/>
        <v>1</v>
      </c>
      <c r="J5" s="16"/>
      <c r="K5" s="16"/>
      <c r="L5" s="16"/>
    </row>
    <row r="6" spans="1:12" x14ac:dyDescent="0.35">
      <c r="A6" s="10" t="str">
        <f>Dataset_Rapi!A7</f>
        <v>P05</v>
      </c>
      <c r="B6" s="11">
        <f>Dataset_Rapi!B7</f>
        <v>5</v>
      </c>
      <c r="C6" s="12">
        <f>Dataset_Rapi!C7</f>
        <v>3</v>
      </c>
      <c r="D6" s="13">
        <f>Dataset_Rapi!D7</f>
        <v>150000</v>
      </c>
      <c r="E6" s="14">
        <f t="shared" si="0"/>
        <v>228251.61556711927</v>
      </c>
      <c r="F6" s="14">
        <f t="shared" si="1"/>
        <v>508032.47931013227</v>
      </c>
      <c r="G6" s="14">
        <f t="shared" si="2"/>
        <v>803053.67199770652</v>
      </c>
      <c r="H6" s="15">
        <f t="shared" si="3"/>
        <v>1</v>
      </c>
      <c r="J6" s="16"/>
      <c r="K6" s="16"/>
      <c r="L6" s="16"/>
    </row>
    <row r="7" spans="1:12" x14ac:dyDescent="0.35">
      <c r="A7" s="10" t="str">
        <f>Dataset_Rapi!A8</f>
        <v>P06</v>
      </c>
      <c r="B7" s="11">
        <f>Dataset_Rapi!B8</f>
        <v>6</v>
      </c>
      <c r="C7" s="12">
        <f>Dataset_Rapi!C8</f>
        <v>4</v>
      </c>
      <c r="D7" s="13">
        <f>Dataset_Rapi!D8</f>
        <v>180000</v>
      </c>
      <c r="E7" s="14">
        <f t="shared" si="0"/>
        <v>244127.83539981671</v>
      </c>
      <c r="F7" s="14">
        <f t="shared" si="1"/>
        <v>514194.5157544954</v>
      </c>
      <c r="G7" s="14">
        <f t="shared" si="2"/>
        <v>806221.80576873512</v>
      </c>
      <c r="H7" s="15">
        <f t="shared" si="3"/>
        <v>1</v>
      </c>
    </row>
    <row r="8" spans="1:12" x14ac:dyDescent="0.35">
      <c r="A8" s="10" t="str">
        <f>Dataset_Rapi!A9</f>
        <v>P07</v>
      </c>
      <c r="B8" s="11">
        <f>Dataset_Rapi!B9</f>
        <v>7</v>
      </c>
      <c r="C8" s="12">
        <f>Dataset_Rapi!C9</f>
        <v>4</v>
      </c>
      <c r="D8" s="13">
        <f>Dataset_Rapi!D9</f>
        <v>200000</v>
      </c>
      <c r="E8" s="14">
        <f t="shared" si="0"/>
        <v>256121.84604207429</v>
      </c>
      <c r="F8" s="14">
        <f t="shared" si="1"/>
        <v>519226.34758359479</v>
      </c>
      <c r="G8" s="14">
        <f t="shared" si="2"/>
        <v>808945.98094063113</v>
      </c>
      <c r="H8" s="15">
        <f t="shared" si="3"/>
        <v>1</v>
      </c>
    </row>
    <row r="9" spans="1:12" x14ac:dyDescent="0.35">
      <c r="A9" s="10" t="str">
        <f>Dataset_Rapi!A10</f>
        <v>P08</v>
      </c>
      <c r="B9" s="11">
        <f>Dataset_Rapi!B10</f>
        <v>8</v>
      </c>
      <c r="C9" s="12">
        <f>Dataset_Rapi!C10</f>
        <v>5</v>
      </c>
      <c r="D9" s="13">
        <f>Dataset_Rapi!D10</f>
        <v>225000</v>
      </c>
      <c r="E9" s="14">
        <f t="shared" si="0"/>
        <v>272438.98405698111</v>
      </c>
      <c r="F9" s="14">
        <f t="shared" si="1"/>
        <v>526516.85635789472</v>
      </c>
      <c r="G9" s="14">
        <f t="shared" si="2"/>
        <v>813029.51980478549</v>
      </c>
      <c r="H9" s="15">
        <f t="shared" si="3"/>
        <v>1</v>
      </c>
    </row>
    <row r="10" spans="1:12" x14ac:dyDescent="0.35">
      <c r="A10" s="10" t="str">
        <f>Dataset_Rapi!A11</f>
        <v>P09</v>
      </c>
      <c r="B10" s="11">
        <f>Dataset_Rapi!B11</f>
        <v>9</v>
      </c>
      <c r="C10" s="12">
        <f>Dataset_Rapi!C11</f>
        <v>5</v>
      </c>
      <c r="D10" s="13">
        <f>Dataset_Rapi!D11</f>
        <v>250000</v>
      </c>
      <c r="E10" s="14">
        <f t="shared" si="0"/>
        <v>289996.55177432712</v>
      </c>
      <c r="F10" s="14">
        <f t="shared" si="1"/>
        <v>534878.49089863396</v>
      </c>
      <c r="G10" s="14">
        <f t="shared" si="2"/>
        <v>817858.17845210794</v>
      </c>
      <c r="H10" s="15">
        <f t="shared" si="3"/>
        <v>1</v>
      </c>
    </row>
    <row r="11" spans="1:12" x14ac:dyDescent="0.35">
      <c r="A11" s="10" t="str">
        <f>Dataset_Rapi!A12</f>
        <v>P10</v>
      </c>
      <c r="B11" s="11">
        <f>Dataset_Rapi!B12</f>
        <v>10</v>
      </c>
      <c r="C11" s="12">
        <f>Dataset_Rapi!C12</f>
        <v>6</v>
      </c>
      <c r="D11" s="13">
        <f>Dataset_Rapi!D12</f>
        <v>300000</v>
      </c>
      <c r="E11" s="14">
        <f t="shared" si="0"/>
        <v>328020.73114515183</v>
      </c>
      <c r="F11" s="14">
        <f t="shared" si="1"/>
        <v>554611.57582221448</v>
      </c>
      <c r="G11" s="14">
        <f t="shared" si="2"/>
        <v>829692.95529189589</v>
      </c>
      <c r="H11" s="15">
        <f t="shared" si="3"/>
        <v>1</v>
      </c>
    </row>
    <row r="12" spans="1:12" x14ac:dyDescent="0.35">
      <c r="A12" s="10" t="str">
        <f>Dataset_Rapi!A13</f>
        <v>P11</v>
      </c>
      <c r="B12" s="11">
        <f>Dataset_Rapi!B13</f>
        <v>11</v>
      </c>
      <c r="C12" s="12">
        <f>Dataset_Rapi!C13</f>
        <v>6</v>
      </c>
      <c r="D12" s="13">
        <f>Dataset_Rapi!D13</f>
        <v>330000</v>
      </c>
      <c r="E12" s="14">
        <f t="shared" si="0"/>
        <v>352274.89276415942</v>
      </c>
      <c r="F12" s="14">
        <f t="shared" si="1"/>
        <v>568237.62638266047</v>
      </c>
      <c r="G12" s="14">
        <f t="shared" si="2"/>
        <v>838147.00384359783</v>
      </c>
      <c r="H12" s="15">
        <f t="shared" si="3"/>
        <v>1</v>
      </c>
    </row>
    <row r="13" spans="1:12" x14ac:dyDescent="0.35">
      <c r="A13" s="10" t="str">
        <f>Dataset_Rapi!A14</f>
        <v>P12</v>
      </c>
      <c r="B13" s="11">
        <f>Dataset_Rapi!B14</f>
        <v>12</v>
      </c>
      <c r="C13" s="12">
        <f>Dataset_Rapi!C14</f>
        <v>7</v>
      </c>
      <c r="D13" s="13">
        <f>Dataset_Rapi!D14</f>
        <v>385000</v>
      </c>
      <c r="E13" s="14">
        <f t="shared" si="0"/>
        <v>398775.8770261812</v>
      </c>
      <c r="F13" s="14">
        <f t="shared" si="1"/>
        <v>596337.15300407039</v>
      </c>
      <c r="G13" s="14">
        <f t="shared" si="2"/>
        <v>856162.25101203797</v>
      </c>
      <c r="H13" s="15">
        <f t="shared" si="3"/>
        <v>1</v>
      </c>
    </row>
    <row r="14" spans="1:12" x14ac:dyDescent="0.35">
      <c r="A14" s="10" t="str">
        <f>Dataset_Rapi!A15</f>
        <v>P13</v>
      </c>
      <c r="B14" s="11">
        <f>Dataset_Rapi!B15</f>
        <v>13</v>
      </c>
      <c r="C14" s="12">
        <f>Dataset_Rapi!C15</f>
        <v>8</v>
      </c>
      <c r="D14" s="13">
        <f>Dataset_Rapi!D15</f>
        <v>440000</v>
      </c>
      <c r="E14" s="14">
        <f t="shared" si="0"/>
        <v>447210.0179199925</v>
      </c>
      <c r="F14" s="14">
        <f t="shared" si="1"/>
        <v>628006.36945257173</v>
      </c>
      <c r="G14" s="14">
        <f t="shared" si="2"/>
        <v>877261.19261483348</v>
      </c>
      <c r="H14" s="15">
        <f t="shared" si="3"/>
        <v>1</v>
      </c>
    </row>
    <row r="15" spans="1:12" x14ac:dyDescent="0.35">
      <c r="A15" s="10" t="str">
        <f>Dataset_Rapi!A16</f>
        <v>P14</v>
      </c>
      <c r="B15" s="11">
        <f>Dataset_Rapi!B16</f>
        <v>14</v>
      </c>
      <c r="C15" s="12">
        <f>Dataset_Rapi!C16</f>
        <v>9</v>
      </c>
      <c r="D15" s="13">
        <f>Dataset_Rapi!D16</f>
        <v>495000</v>
      </c>
      <c r="E15" s="14">
        <f t="shared" si="0"/>
        <v>497012.47485551104</v>
      </c>
      <c r="F15" s="14">
        <f t="shared" si="1"/>
        <v>662733.73242728482</v>
      </c>
      <c r="G15" s="14">
        <f t="shared" si="2"/>
        <v>901227.27437755675</v>
      </c>
      <c r="H15" s="15">
        <f t="shared" si="3"/>
        <v>1</v>
      </c>
    </row>
    <row r="16" spans="1:12" x14ac:dyDescent="0.35">
      <c r="A16" s="10" t="str">
        <f>Dataset_Rapi!A17</f>
        <v>P15</v>
      </c>
      <c r="B16" s="11">
        <f>Dataset_Rapi!B17</f>
        <v>15</v>
      </c>
      <c r="C16" s="12">
        <f>Dataset_Rapi!C17</f>
        <v>10</v>
      </c>
      <c r="D16" s="13">
        <f>Dataset_Rapi!D17</f>
        <v>550000</v>
      </c>
      <c r="E16" s="14">
        <f t="shared" si="0"/>
        <v>547810.18628718471</v>
      </c>
      <c r="F16" s="14">
        <f t="shared" si="1"/>
        <v>700064.28285193921</v>
      </c>
      <c r="G16" s="14">
        <f t="shared" si="2"/>
        <v>927838.34804345097</v>
      </c>
      <c r="H16" s="15">
        <f t="shared" si="3"/>
        <v>1</v>
      </c>
    </row>
    <row r="17" spans="1:8" x14ac:dyDescent="0.35">
      <c r="A17" s="10" t="str">
        <f>Dataset_Rapi!A18</f>
        <v>P16</v>
      </c>
      <c r="B17" s="11">
        <f>Dataset_Rapi!B18</f>
        <v>16</v>
      </c>
      <c r="C17" s="12">
        <f>Dataset_Rapi!C18</f>
        <v>11</v>
      </c>
      <c r="D17" s="13">
        <f>Dataset_Rapi!D18</f>
        <v>605000</v>
      </c>
      <c r="E17" s="14">
        <f t="shared" si="0"/>
        <v>599350.1482789506</v>
      </c>
      <c r="F17" s="14">
        <f t="shared" si="1"/>
        <v>739603.94817564357</v>
      </c>
      <c r="G17" s="14">
        <f t="shared" si="2"/>
        <v>956873.76394276798</v>
      </c>
      <c r="H17" s="15">
        <f t="shared" si="3"/>
        <v>1</v>
      </c>
    </row>
    <row r="18" spans="1:8" x14ac:dyDescent="0.35">
      <c r="A18" s="10" t="str">
        <f>Dataset_Rapi!A19</f>
        <v>P17</v>
      </c>
      <c r="B18" s="11">
        <f>Dataset_Rapi!B19</f>
        <v>17</v>
      </c>
      <c r="C18" s="12">
        <f>Dataset_Rapi!C19</f>
        <v>12</v>
      </c>
      <c r="D18" s="13">
        <f>Dataset_Rapi!D19</f>
        <v>660000</v>
      </c>
      <c r="E18" s="14">
        <f t="shared" si="0"/>
        <v>651456.21517336066</v>
      </c>
      <c r="F18" s="14">
        <f t="shared" si="1"/>
        <v>781017.28546364454</v>
      </c>
      <c r="G18" s="14">
        <f t="shared" si="2"/>
        <v>988119.83086465788</v>
      </c>
      <c r="H18" s="15">
        <f t="shared" si="3"/>
        <v>1</v>
      </c>
    </row>
    <row r="19" spans="1:8" x14ac:dyDescent="0.35">
      <c r="A19" s="10" t="str">
        <f>Dataset_Rapi!A20</f>
        <v>P18</v>
      </c>
      <c r="B19" s="11">
        <f>Dataset_Rapi!B20</f>
        <v>18</v>
      </c>
      <c r="C19" s="12">
        <f>Dataset_Rapi!C20</f>
        <v>13</v>
      </c>
      <c r="D19" s="13">
        <f>Dataset_Rapi!D20</f>
        <v>715000</v>
      </c>
      <c r="E19" s="14">
        <f t="shared" si="0"/>
        <v>704002.69909851905</v>
      </c>
      <c r="F19" s="14">
        <f t="shared" si="1"/>
        <v>824021.84451202501</v>
      </c>
      <c r="G19" s="14">
        <f t="shared" si="2"/>
        <v>1021373.6829280456</v>
      </c>
      <c r="H19" s="15">
        <f t="shared" si="3"/>
        <v>1</v>
      </c>
    </row>
    <row r="20" spans="1:8" x14ac:dyDescent="0.35">
      <c r="A20" s="10" t="str">
        <f>Dataset_Rapi!A21</f>
        <v>P19</v>
      </c>
      <c r="B20" s="11">
        <f>Dataset_Rapi!B21</f>
        <v>19</v>
      </c>
      <c r="C20" s="12">
        <f>Dataset_Rapi!C21</f>
        <v>14</v>
      </c>
      <c r="D20" s="13">
        <f>Dataset_Rapi!D21</f>
        <v>770000</v>
      </c>
      <c r="E20" s="14">
        <f t="shared" si="0"/>
        <v>756897.87976450298</v>
      </c>
      <c r="F20" s="14">
        <f t="shared" si="1"/>
        <v>868381.25283598795</v>
      </c>
      <c r="G20" s="14">
        <f t="shared" si="2"/>
        <v>1056445.7393600487</v>
      </c>
      <c r="H20" s="15">
        <f t="shared" si="3"/>
        <v>1</v>
      </c>
    </row>
    <row r="21" spans="1:8" x14ac:dyDescent="0.35">
      <c r="A21" s="10" t="str">
        <f>Dataset_Rapi!A22</f>
        <v>P20</v>
      </c>
      <c r="B21" s="11">
        <f>Dataset_Rapi!B22</f>
        <v>20</v>
      </c>
      <c r="C21" s="12">
        <f>Dataset_Rapi!C22</f>
        <v>15</v>
      </c>
      <c r="D21" s="13">
        <f>Dataset_Rapi!D22</f>
        <v>825000</v>
      </c>
      <c r="E21" s="14">
        <f t="shared" si="0"/>
        <v>810073.45373737556</v>
      </c>
      <c r="F21" s="14">
        <f t="shared" si="1"/>
        <v>913898.2439664714</v>
      </c>
      <c r="G21" s="14">
        <f t="shared" si="2"/>
        <v>1093161.0129573776</v>
      </c>
      <c r="H21" s="15">
        <f t="shared" si="3"/>
        <v>1</v>
      </c>
    </row>
    <row r="22" spans="1:8" x14ac:dyDescent="0.35">
      <c r="A22" s="10" t="str">
        <f>Dataset_Rapi!A23</f>
        <v>P21</v>
      </c>
      <c r="B22" s="11">
        <f>Dataset_Rapi!B23</f>
        <v>21</v>
      </c>
      <c r="C22" s="12">
        <f>Dataset_Rapi!C23</f>
        <v>16</v>
      </c>
      <c r="D22" s="13">
        <f>Dataset_Rapi!D23</f>
        <v>880000</v>
      </c>
      <c r="E22" s="14">
        <f t="shared" si="0"/>
        <v>863477.62015700212</v>
      </c>
      <c r="F22" s="14">
        <f t="shared" si="1"/>
        <v>960408.24672479776</v>
      </c>
      <c r="G22" s="14">
        <f t="shared" si="2"/>
        <v>1131359.5362624563</v>
      </c>
      <c r="H22" s="15">
        <f t="shared" si="3"/>
        <v>1</v>
      </c>
    </row>
    <row r="23" spans="1:8" x14ac:dyDescent="0.35">
      <c r="A23" s="10" t="str">
        <f>Dataset_Rapi!A24</f>
        <v>P22</v>
      </c>
      <c r="B23" s="11">
        <f>Dataset_Rapi!B24</f>
        <v>22</v>
      </c>
      <c r="C23" s="12">
        <f>Dataset_Rapi!C24</f>
        <v>17</v>
      </c>
      <c r="D23" s="13">
        <f>Dataset_Rapi!D24</f>
        <v>935000</v>
      </c>
      <c r="E23" s="14">
        <f t="shared" si="0"/>
        <v>917070.44471948827</v>
      </c>
      <c r="F23" s="14">
        <f t="shared" si="1"/>
        <v>1007773.7843549018</v>
      </c>
      <c r="G23" s="14">
        <f t="shared" si="2"/>
        <v>1170896.1526702528</v>
      </c>
      <c r="H23" s="15">
        <f t="shared" si="3"/>
        <v>1</v>
      </c>
    </row>
    <row r="24" spans="1:8" x14ac:dyDescent="0.35">
      <c r="A24" s="10" t="str">
        <f>Dataset_Rapi!A25</f>
        <v>P23</v>
      </c>
      <c r="B24" s="11">
        <f>Dataset_Rapi!B25</f>
        <v>23</v>
      </c>
      <c r="C24" s="12">
        <f>Dataset_Rapi!C25</f>
        <v>18</v>
      </c>
      <c r="D24" s="13">
        <f>Dataset_Rapi!D25</f>
        <v>990000</v>
      </c>
      <c r="E24" s="14">
        <f t="shared" si="0"/>
        <v>970820.68408537738</v>
      </c>
      <c r="F24" s="14">
        <f t="shared" si="1"/>
        <v>1055879.7282328135</v>
      </c>
      <c r="G24" s="14">
        <f t="shared" si="2"/>
        <v>1211639.8806526633</v>
      </c>
      <c r="H24" s="15">
        <f t="shared" si="3"/>
        <v>1</v>
      </c>
    </row>
    <row r="25" spans="1:8" x14ac:dyDescent="0.35">
      <c r="A25" s="10" t="str">
        <f>Dataset_Rapi!A26</f>
        <v>P24</v>
      </c>
      <c r="B25" s="11">
        <f>Dataset_Rapi!B26</f>
        <v>24</v>
      </c>
      <c r="C25" s="12">
        <f>Dataset_Rapi!C26</f>
        <v>19</v>
      </c>
      <c r="D25" s="13">
        <f>Dataset_Rapi!D26</f>
        <v>1045000</v>
      </c>
      <c r="E25" s="14">
        <f t="shared" si="0"/>
        <v>1024703.5672437176</v>
      </c>
      <c r="F25" s="14">
        <f t="shared" si="1"/>
        <v>1104629.3498531533</v>
      </c>
      <c r="G25" s="14">
        <f t="shared" si="2"/>
        <v>1253473.015442295</v>
      </c>
      <c r="H25" s="15">
        <f t="shared" si="3"/>
        <v>1</v>
      </c>
    </row>
    <row r="26" spans="1:8" x14ac:dyDescent="0.35">
      <c r="A26" s="10" t="str">
        <f>Dataset_Rapi!A27</f>
        <v>P25</v>
      </c>
      <c r="B26" s="11">
        <f>Dataset_Rapi!B27</f>
        <v>25</v>
      </c>
      <c r="C26" s="12">
        <f>Dataset_Rapi!C27</f>
        <v>20</v>
      </c>
      <c r="D26" s="13">
        <f>Dataset_Rapi!D27</f>
        <v>1100000</v>
      </c>
      <c r="E26" s="14">
        <f t="shared" si="0"/>
        <v>1078699.2170202034</v>
      </c>
      <c r="F26" s="14">
        <f t="shared" si="1"/>
        <v>1153941.0732897066</v>
      </c>
      <c r="G26" s="14">
        <f t="shared" si="2"/>
        <v>1296290.0911832969</v>
      </c>
      <c r="H26" s="15">
        <f t="shared" si="3"/>
        <v>1</v>
      </c>
    </row>
    <row r="27" spans="1:8" x14ac:dyDescent="0.35">
      <c r="A27" s="10" t="str">
        <f>Dataset_Rapi!A28</f>
        <v>P26</v>
      </c>
      <c r="B27" s="11">
        <f>Dataset_Rapi!B28</f>
        <v>26</v>
      </c>
      <c r="C27" s="12">
        <f>Dataset_Rapi!C28</f>
        <v>22</v>
      </c>
      <c r="D27" s="13">
        <f>Dataset_Rapi!D28</f>
        <v>1210000</v>
      </c>
      <c r="E27" s="14">
        <f t="shared" si="0"/>
        <v>1186967.2282438972</v>
      </c>
      <c r="F27" s="14">
        <f t="shared" si="1"/>
        <v>1253984.8486883724</v>
      </c>
      <c r="G27" s="14">
        <f t="shared" si="2"/>
        <v>1384508.8662067137</v>
      </c>
      <c r="H27" s="15">
        <f t="shared" si="3"/>
        <v>1</v>
      </c>
    </row>
    <row r="28" spans="1:8" x14ac:dyDescent="0.35">
      <c r="A28" s="10" t="str">
        <f>Dataset_Rapi!A29</f>
        <v>P27</v>
      </c>
      <c r="B28" s="11">
        <f>Dataset_Rapi!B29</f>
        <v>27</v>
      </c>
      <c r="C28" s="12">
        <f>Dataset_Rapi!C29</f>
        <v>24</v>
      </c>
      <c r="D28" s="13">
        <f>Dataset_Rapi!D29</f>
        <v>1320000</v>
      </c>
      <c r="E28" s="14">
        <f t="shared" si="0"/>
        <v>1295527.074614807</v>
      </c>
      <c r="F28" s="14">
        <f t="shared" si="1"/>
        <v>1355572.2042241055</v>
      </c>
      <c r="G28" s="14">
        <f t="shared" si="2"/>
        <v>1475656.328797461</v>
      </c>
      <c r="H28" s="15">
        <f t="shared" si="3"/>
        <v>1</v>
      </c>
    </row>
    <row r="29" spans="1:8" x14ac:dyDescent="0.35">
      <c r="A29" s="10" t="str">
        <f>Dataset_Rapi!A30</f>
        <v>P28</v>
      </c>
      <c r="B29" s="11">
        <f>Dataset_Rapi!B30</f>
        <v>28</v>
      </c>
      <c r="C29" s="12">
        <f>Dataset_Rapi!C30</f>
        <v>26</v>
      </c>
      <c r="D29" s="13">
        <f>Dataset_Rapi!D30</f>
        <v>1430000</v>
      </c>
      <c r="E29" s="14">
        <f t="shared" si="0"/>
        <v>1404311.077078366</v>
      </c>
      <c r="F29" s="14">
        <f t="shared" si="1"/>
        <v>1458380.6091003816</v>
      </c>
      <c r="G29" s="14">
        <f t="shared" si="2"/>
        <v>1569222.227998635</v>
      </c>
      <c r="H29" s="15">
        <f t="shared" si="3"/>
        <v>1</v>
      </c>
    </row>
    <row r="30" spans="1:8" x14ac:dyDescent="0.35">
      <c r="A30" s="10" t="str">
        <f>Dataset_Rapi!A31</f>
        <v>P29</v>
      </c>
      <c r="B30" s="11">
        <f>Dataset_Rapi!B31</f>
        <v>29</v>
      </c>
      <c r="C30" s="12">
        <f>Dataset_Rapi!C31</f>
        <v>28</v>
      </c>
      <c r="D30" s="13">
        <f>Dataset_Rapi!D31</f>
        <v>1540000</v>
      </c>
      <c r="E30" s="14">
        <f t="shared" si="0"/>
        <v>1513270.8949028261</v>
      </c>
      <c r="F30" s="14">
        <f t="shared" si="1"/>
        <v>1562169.0053080043</v>
      </c>
      <c r="G30" s="14">
        <f t="shared" si="2"/>
        <v>1664798.8470022436</v>
      </c>
      <c r="H30" s="15">
        <f t="shared" si="3"/>
        <v>1</v>
      </c>
    </row>
    <row r="31" spans="1:8" x14ac:dyDescent="0.35">
      <c r="A31" s="10" t="str">
        <f>Dataset_Rapi!A32</f>
        <v>P30</v>
      </c>
      <c r="B31" s="11">
        <f>Dataset_Rapi!B32</f>
        <v>30</v>
      </c>
      <c r="C31" s="12">
        <f>Dataset_Rapi!C32</f>
        <v>30</v>
      </c>
      <c r="D31" s="13">
        <f>Dataset_Rapi!D32</f>
        <v>1650000</v>
      </c>
      <c r="E31" s="14">
        <f t="shared" si="0"/>
        <v>1622371.1047491569</v>
      </c>
      <c r="F31" s="14">
        <f t="shared" si="1"/>
        <v>1666754.3314178009</v>
      </c>
      <c r="G31" s="14">
        <f t="shared" si="2"/>
        <v>1762059.0231672151</v>
      </c>
      <c r="H31" s="15">
        <f t="shared" si="3"/>
        <v>1</v>
      </c>
    </row>
    <row r="32" spans="1:8" x14ac:dyDescent="0.35">
      <c r="A32" s="10" t="str">
        <f>Dataset_Rapi!A33</f>
        <v>P31</v>
      </c>
      <c r="B32" s="11">
        <f>Dataset_Rapi!B33</f>
        <v>31</v>
      </c>
      <c r="C32" s="12">
        <f>Dataset_Rapi!C33</f>
        <v>32</v>
      </c>
      <c r="D32" s="13">
        <f>Dataset_Rapi!D33</f>
        <v>1760000</v>
      </c>
      <c r="E32" s="14">
        <f t="shared" si="0"/>
        <v>1731585.1702125426</v>
      </c>
      <c r="F32" s="14">
        <f t="shared" si="1"/>
        <v>1771995.4857349384</v>
      </c>
      <c r="G32" s="14">
        <f t="shared" si="2"/>
        <v>1860738.7783565968</v>
      </c>
      <c r="H32" s="15">
        <f t="shared" si="3"/>
        <v>1</v>
      </c>
    </row>
    <row r="33" spans="1:8" x14ac:dyDescent="0.35">
      <c r="A33" s="10" t="str">
        <f>Dataset_Rapi!A34</f>
        <v>P32</v>
      </c>
      <c r="B33" s="11">
        <f>Dataset_Rapi!B34</f>
        <v>32</v>
      </c>
      <c r="C33" s="12">
        <f>Dataset_Rapi!C34</f>
        <v>34</v>
      </c>
      <c r="D33" s="13">
        <f>Dataset_Rapi!D34</f>
        <v>1870000</v>
      </c>
      <c r="E33" s="14">
        <f t="shared" si="0"/>
        <v>1840892.8273761622</v>
      </c>
      <c r="F33" s="14">
        <f t="shared" si="1"/>
        <v>1877782.2029298285</v>
      </c>
      <c r="G33" s="14">
        <f t="shared" si="2"/>
        <v>1960623.7786594857</v>
      </c>
      <c r="H33" s="15">
        <f t="shared" si="3"/>
        <v>1</v>
      </c>
    </row>
    <row r="34" spans="1:8" x14ac:dyDescent="0.35">
      <c r="A34" s="10" t="str">
        <f>Dataset_Rapi!A35</f>
        <v>P33</v>
      </c>
      <c r="B34" s="11">
        <f>Dataset_Rapi!B35</f>
        <v>33</v>
      </c>
      <c r="C34" s="12">
        <f>Dataset_Rapi!C35</f>
        <v>36</v>
      </c>
      <c r="D34" s="13">
        <f>Dataset_Rapi!D35</f>
        <v>1980000</v>
      </c>
      <c r="E34" s="14">
        <f t="shared" ref="E34:E65" si="4">SQRT((B34-$J$2)^2+(C34-$K$2)^2+(D34-$L$2)^2)</f>
        <v>1950278.3396428316</v>
      </c>
      <c r="F34" s="14">
        <f t="shared" ref="F34:F51" si="5">SQRT((B34-$J$3)^2+(C34-$K$3)^2+(D34-$L$3)^2)</f>
        <v>1984027.2180151662</v>
      </c>
      <c r="G34" s="14">
        <f t="shared" ref="G34:G51" si="6">SQRT((B34-$J$4)^2+(C34-$K$4)^2+(D34-$L$4)^2)</f>
        <v>2061538.8431024044</v>
      </c>
      <c r="H34" s="15">
        <f t="shared" ref="H34:H65" si="7">MATCH(MIN(E34:G34),E34:G34,0)</f>
        <v>1</v>
      </c>
    </row>
    <row r="35" spans="1:8" x14ac:dyDescent="0.35">
      <c r="A35" s="10" t="str">
        <f>Dataset_Rapi!A36</f>
        <v>P34</v>
      </c>
      <c r="B35" s="11">
        <f>Dataset_Rapi!B36</f>
        <v>34</v>
      </c>
      <c r="C35" s="12">
        <f>Dataset_Rapi!C36</f>
        <v>38</v>
      </c>
      <c r="D35" s="13">
        <f>Dataset_Rapi!D36</f>
        <v>2090000</v>
      </c>
      <c r="E35" s="14">
        <f t="shared" si="4"/>
        <v>2059729.3031573349</v>
      </c>
      <c r="F35" s="14">
        <f t="shared" si="5"/>
        <v>2090660.6616139312</v>
      </c>
      <c r="G35" s="14">
        <f t="shared" si="6"/>
        <v>2163339.8257798059</v>
      </c>
      <c r="H35" s="15">
        <f t="shared" si="7"/>
        <v>1</v>
      </c>
    </row>
    <row r="36" spans="1:8" x14ac:dyDescent="0.35">
      <c r="A36" s="10" t="str">
        <f>Dataset_Rapi!A37</f>
        <v>P35</v>
      </c>
      <c r="B36" s="11">
        <f>Dataset_Rapi!B37</f>
        <v>35</v>
      </c>
      <c r="C36" s="12">
        <f>Dataset_Rapi!C37</f>
        <v>40</v>
      </c>
      <c r="D36" s="13">
        <f>Dataset_Rapi!D37</f>
        <v>2200000</v>
      </c>
      <c r="E36" s="14">
        <f t="shared" si="4"/>
        <v>2169235.8107176824</v>
      </c>
      <c r="F36" s="14">
        <f t="shared" si="5"/>
        <v>2197625.9923437838</v>
      </c>
      <c r="G36" s="14">
        <f t="shared" si="6"/>
        <v>2265907.3242301857</v>
      </c>
      <c r="H36" s="15">
        <f t="shared" si="7"/>
        <v>1</v>
      </c>
    </row>
    <row r="37" spans="1:8" x14ac:dyDescent="0.35">
      <c r="A37" s="10" t="str">
        <f>Dataset_Rapi!A38</f>
        <v>P36</v>
      </c>
      <c r="B37" s="11">
        <f>Dataset_Rapi!B38</f>
        <v>36</v>
      </c>
      <c r="C37" s="12">
        <f>Dataset_Rapi!C38</f>
        <v>42</v>
      </c>
      <c r="D37" s="13">
        <f>Dataset_Rapi!D38</f>
        <v>2310000</v>
      </c>
      <c r="E37" s="14">
        <f t="shared" si="4"/>
        <v>2278789.8548846054</v>
      </c>
      <c r="F37" s="14">
        <f t="shared" si="5"/>
        <v>2304877.003755298</v>
      </c>
      <c r="G37" s="14">
        <f t="shared" si="6"/>
        <v>2369141.7860071189</v>
      </c>
      <c r="H37" s="15">
        <f t="shared" si="7"/>
        <v>1</v>
      </c>
    </row>
    <row r="38" spans="1:8" x14ac:dyDescent="0.35">
      <c r="A38" s="10" t="str">
        <f>Dataset_Rapi!A39</f>
        <v>P37</v>
      </c>
      <c r="B38" s="11">
        <f>Dataset_Rapi!B39</f>
        <v>37</v>
      </c>
      <c r="C38" s="12">
        <f>Dataset_Rapi!C39</f>
        <v>44</v>
      </c>
      <c r="D38" s="13">
        <f>Dataset_Rapi!D39</f>
        <v>2420000</v>
      </c>
      <c r="E38" s="14">
        <f t="shared" si="4"/>
        <v>2388384.8942245468</v>
      </c>
      <c r="F38" s="14">
        <f t="shared" si="5"/>
        <v>2412375.5931995749</v>
      </c>
      <c r="G38" s="14">
        <f t="shared" si="6"/>
        <v>2472959.6847542822</v>
      </c>
      <c r="H38" s="15">
        <f t="shared" si="7"/>
        <v>1</v>
      </c>
    </row>
    <row r="39" spans="1:8" x14ac:dyDescent="0.35">
      <c r="A39" s="10" t="str">
        <f>Dataset_Rapi!A40</f>
        <v>P38</v>
      </c>
      <c r="B39" s="11">
        <f>Dataset_Rapi!B40</f>
        <v>38</v>
      </c>
      <c r="C39" s="12">
        <f>Dataset_Rapi!C40</f>
        <v>46</v>
      </c>
      <c r="D39" s="13">
        <f>Dataset_Rapi!D40</f>
        <v>2530000</v>
      </c>
      <c r="E39" s="14">
        <f t="shared" si="4"/>
        <v>2498015.5330191604</v>
      </c>
      <c r="F39" s="14">
        <f t="shared" si="5"/>
        <v>2520090.0783305345</v>
      </c>
      <c r="G39" s="14">
        <f t="shared" si="6"/>
        <v>2577290.5157635994</v>
      </c>
      <c r="H39" s="15">
        <f t="shared" si="7"/>
        <v>1</v>
      </c>
    </row>
    <row r="40" spans="1:8" x14ac:dyDescent="0.35">
      <c r="A40" s="10" t="str">
        <f>Dataset_Rapi!A41</f>
        <v>P39</v>
      </c>
      <c r="B40" s="11">
        <f>Dataset_Rapi!B41</f>
        <v>39</v>
      </c>
      <c r="C40" s="12">
        <f>Dataset_Rapi!C41</f>
        <v>48</v>
      </c>
      <c r="D40" s="13">
        <f>Dataset_Rapi!D41</f>
        <v>2640000</v>
      </c>
      <c r="E40" s="14">
        <f t="shared" si="4"/>
        <v>2607677.2813099399</v>
      </c>
      <c r="F40" s="14">
        <f t="shared" si="5"/>
        <v>2627993.9123112517</v>
      </c>
      <c r="G40" s="14">
        <f t="shared" si="6"/>
        <v>2682074.4215774476</v>
      </c>
      <c r="H40" s="15">
        <f t="shared" si="7"/>
        <v>1</v>
      </c>
    </row>
    <row r="41" spans="1:8" x14ac:dyDescent="0.35">
      <c r="A41" s="10" t="str">
        <f>Dataset_Rapi!A42</f>
        <v>P40</v>
      </c>
      <c r="B41" s="11">
        <f>Dataset_Rapi!B42</f>
        <v>40</v>
      </c>
      <c r="C41" s="12">
        <f>Dataset_Rapi!C42</f>
        <v>50</v>
      </c>
      <c r="D41" s="13">
        <f>Dataset_Rapi!D42</f>
        <v>2750000</v>
      </c>
      <c r="E41" s="14">
        <f t="shared" si="4"/>
        <v>2717366.3727449416</v>
      </c>
      <c r="F41" s="14">
        <f t="shared" si="5"/>
        <v>2736064.6928389687</v>
      </c>
      <c r="G41" s="14">
        <f t="shared" si="6"/>
        <v>2787260.3041562159</v>
      </c>
      <c r="H41" s="15">
        <f t="shared" si="7"/>
        <v>1</v>
      </c>
    </row>
    <row r="42" spans="1:8" x14ac:dyDescent="0.35">
      <c r="A42" s="10" t="str">
        <f>Dataset_Rapi!A43</f>
        <v>P41</v>
      </c>
      <c r="B42" s="11">
        <f>Dataset_Rapi!B43</f>
        <v>41</v>
      </c>
      <c r="C42" s="12">
        <f>Dataset_Rapi!C43</f>
        <v>52</v>
      </c>
      <c r="D42" s="13">
        <f>Dataset_Rapi!D43</f>
        <v>2860000</v>
      </c>
      <c r="E42" s="14">
        <f t="shared" si="4"/>
        <v>2827079.6246303357</v>
      </c>
      <c r="F42" s="14">
        <f t="shared" si="5"/>
        <v>2844283.3901819629</v>
      </c>
      <c r="G42" s="14">
        <f t="shared" si="6"/>
        <v>2892804.3147402834</v>
      </c>
      <c r="H42" s="15">
        <f t="shared" si="7"/>
        <v>1</v>
      </c>
    </row>
    <row r="43" spans="1:8" x14ac:dyDescent="0.35">
      <c r="A43" s="10" t="str">
        <f>Dataset_Rapi!A44</f>
        <v>P42</v>
      </c>
      <c r="B43" s="11">
        <f>Dataset_Rapi!B44</f>
        <v>42</v>
      </c>
      <c r="C43" s="12">
        <f>Dataset_Rapi!C44</f>
        <v>54</v>
      </c>
      <c r="D43" s="13">
        <f>Dataset_Rapi!D44</f>
        <v>2970000</v>
      </c>
      <c r="E43" s="14">
        <f t="shared" si="4"/>
        <v>2936814.3292154172</v>
      </c>
      <c r="F43" s="14">
        <f t="shared" si="5"/>
        <v>2952633.7402292211</v>
      </c>
      <c r="G43" s="14">
        <f t="shared" si="6"/>
        <v>2998668.6385202683</v>
      </c>
      <c r="H43" s="15">
        <f t="shared" si="7"/>
        <v>1</v>
      </c>
    </row>
    <row r="44" spans="1:8" x14ac:dyDescent="0.35">
      <c r="A44" s="10" t="str">
        <f>Dataset_Rapi!A45</f>
        <v>P43</v>
      </c>
      <c r="B44" s="11">
        <f>Dataset_Rapi!B45</f>
        <v>43</v>
      </c>
      <c r="C44" s="12">
        <f>Dataset_Rapi!C45</f>
        <v>56</v>
      </c>
      <c r="D44" s="13">
        <f>Dataset_Rapi!D45</f>
        <v>3080000</v>
      </c>
      <c r="E44" s="14">
        <f t="shared" si="4"/>
        <v>3046568.1683789715</v>
      </c>
      <c r="F44" s="14">
        <f t="shared" si="5"/>
        <v>3061101.7631279426</v>
      </c>
      <c r="G44" s="14">
        <f t="shared" si="6"/>
        <v>3104820.5107413214</v>
      </c>
      <c r="H44" s="15">
        <f t="shared" si="7"/>
        <v>1</v>
      </c>
    </row>
    <row r="45" spans="1:8" x14ac:dyDescent="0.35">
      <c r="A45" s="10" t="str">
        <f>Dataset_Rapi!A46</f>
        <v>P44</v>
      </c>
      <c r="B45" s="11">
        <f>Dataset_Rapi!B46</f>
        <v>44</v>
      </c>
      <c r="C45" s="12">
        <f>Dataset_Rapi!C46</f>
        <v>58</v>
      </c>
      <c r="D45" s="13">
        <f>Dataset_Rapi!D46</f>
        <v>3190000</v>
      </c>
      <c r="E45" s="14">
        <f t="shared" si="4"/>
        <v>3156339.1460495815</v>
      </c>
      <c r="F45" s="14">
        <f t="shared" si="5"/>
        <v>3169675.3784133792</v>
      </c>
      <c r="G45" s="14">
        <f t="shared" si="6"/>
        <v>3211231.4155484028</v>
      </c>
      <c r="H45" s="15">
        <f t="shared" si="7"/>
        <v>1</v>
      </c>
    </row>
    <row r="46" spans="1:8" x14ac:dyDescent="0.35">
      <c r="A46" s="10" t="str">
        <f>Dataset_Rapi!A47</f>
        <v>P45</v>
      </c>
      <c r="B46" s="11">
        <f>Dataset_Rapi!B47</f>
        <v>45</v>
      </c>
      <c r="C46" s="12">
        <f>Dataset_Rapi!C47</f>
        <v>60</v>
      </c>
      <c r="D46" s="13">
        <f>Dataset_Rapi!D47</f>
        <v>3300000</v>
      </c>
      <c r="E46" s="14">
        <f t="shared" si="4"/>
        <v>3266125.5342071592</v>
      </c>
      <c r="F46" s="14">
        <f t="shared" si="5"/>
        <v>3278344.0949395476</v>
      </c>
      <c r="G46" s="14">
        <f t="shared" si="6"/>
        <v>3317876.4299623938</v>
      </c>
      <c r="H46" s="15">
        <f t="shared" si="7"/>
        <v>1</v>
      </c>
    </row>
    <row r="47" spans="1:8" x14ac:dyDescent="0.35">
      <c r="A47" s="10" t="str">
        <f>Dataset_Rapi!A48</f>
        <v>P46</v>
      </c>
      <c r="B47" s="11">
        <f>Dataset_Rapi!B48</f>
        <v>46</v>
      </c>
      <c r="C47" s="12">
        <f>Dataset_Rapi!C48</f>
        <v>62</v>
      </c>
      <c r="D47" s="13">
        <f>Dataset_Rapi!D48</f>
        <v>3410000</v>
      </c>
      <c r="E47" s="14">
        <f t="shared" si="4"/>
        <v>3375925.8293873994</v>
      </c>
      <c r="F47" s="14">
        <f t="shared" si="5"/>
        <v>3387098.7592835259</v>
      </c>
      <c r="G47" s="14">
        <f t="shared" si="6"/>
        <v>3424733.6837781998</v>
      </c>
      <c r="H47" s="15">
        <f t="shared" si="7"/>
        <v>1</v>
      </c>
    </row>
    <row r="48" spans="1:8" x14ac:dyDescent="0.35">
      <c r="A48" s="10" t="str">
        <f>Dataset_Rapi!A49</f>
        <v>P47</v>
      </c>
      <c r="B48" s="11">
        <f>Dataset_Rapi!B49</f>
        <v>47</v>
      </c>
      <c r="C48" s="12">
        <f>Dataset_Rapi!C49</f>
        <v>64</v>
      </c>
      <c r="D48" s="13">
        <f>Dataset_Rapi!D49</f>
        <v>3520000</v>
      </c>
      <c r="E48" s="14">
        <f t="shared" si="4"/>
        <v>3485738.7173825866</v>
      </c>
      <c r="F48" s="14">
        <f t="shared" si="5"/>
        <v>3495931.3502219976</v>
      </c>
      <c r="G48" s="14">
        <f t="shared" si="6"/>
        <v>3531783.9125744938</v>
      </c>
      <c r="H48" s="15">
        <f t="shared" si="7"/>
        <v>1</v>
      </c>
    </row>
    <row r="49" spans="1:8" x14ac:dyDescent="0.35">
      <c r="A49" s="10" t="str">
        <f>Dataset_Rapi!A50</f>
        <v>P48</v>
      </c>
      <c r="B49" s="11">
        <f>Dataset_Rapi!B50</f>
        <v>48</v>
      </c>
      <c r="C49" s="12">
        <f>Dataset_Rapi!C50</f>
        <v>66</v>
      </c>
      <c r="D49" s="13">
        <f>Dataset_Rapi!D50</f>
        <v>3630000</v>
      </c>
      <c r="E49" s="14">
        <f t="shared" si="4"/>
        <v>3595563.0443930477</v>
      </c>
      <c r="F49" s="14">
        <f t="shared" si="5"/>
        <v>3604834.8097797767</v>
      </c>
      <c r="G49" s="14">
        <f t="shared" si="6"/>
        <v>3639010.0859224065</v>
      </c>
      <c r="H49" s="15">
        <f t="shared" si="7"/>
        <v>1</v>
      </c>
    </row>
    <row r="50" spans="1:8" x14ac:dyDescent="0.35">
      <c r="A50" s="10" t="str">
        <f>Dataset_Rapi!A51</f>
        <v>P49</v>
      </c>
      <c r="B50" s="11">
        <f>Dataset_Rapi!B51</f>
        <v>49</v>
      </c>
      <c r="C50" s="12">
        <f>Dataset_Rapi!C51</f>
        <v>68</v>
      </c>
      <c r="D50" s="13">
        <f>Dataset_Rapi!D51</f>
        <v>3740000</v>
      </c>
      <c r="E50" s="14">
        <f t="shared" si="4"/>
        <v>3705397.793295613</v>
      </c>
      <c r="F50" s="14">
        <f t="shared" si="5"/>
        <v>3713802.903513459</v>
      </c>
      <c r="G50" s="14">
        <f t="shared" si="6"/>
        <v>3746397.0966489925</v>
      </c>
      <c r="H50" s="15">
        <f t="shared" si="7"/>
        <v>1</v>
      </c>
    </row>
    <row r="51" spans="1:8" x14ac:dyDescent="0.35">
      <c r="A51" s="10" t="str">
        <f>Dataset_Rapi!A52</f>
        <v>P50</v>
      </c>
      <c r="B51" s="11">
        <f>Dataset_Rapi!B52</f>
        <v>50</v>
      </c>
      <c r="C51" s="12">
        <f>Dataset_Rapi!C52</f>
        <v>70</v>
      </c>
      <c r="D51" s="13">
        <f>Dataset_Rapi!D52</f>
        <v>3850000</v>
      </c>
      <c r="E51" s="14">
        <f t="shared" si="4"/>
        <v>3815242.0640013129</v>
      </c>
      <c r="F51" s="14">
        <f t="shared" si="5"/>
        <v>3822830.1043206197</v>
      </c>
      <c r="G51" s="14">
        <f t="shared" si="6"/>
        <v>3853931.4999264064</v>
      </c>
      <c r="H51" s="15">
        <f t="shared" si="7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selection activeCell="I9" sqref="I9"/>
    </sheetView>
  </sheetViews>
  <sheetFormatPr defaultRowHeight="14.5" x14ac:dyDescent="0.35"/>
  <cols>
    <col min="1" max="1" width="3.81640625" bestFit="1" customWidth="1"/>
    <col min="2" max="2" width="8.90625" bestFit="1" customWidth="1"/>
    <col min="3" max="3" width="12.26953125" bestFit="1" customWidth="1"/>
    <col min="4" max="4" width="9.453125" bestFit="1" customWidth="1"/>
    <col min="5" max="7" width="11.81640625" bestFit="1" customWidth="1"/>
    <col min="8" max="8" width="8.26953125" bestFit="1" customWidth="1"/>
    <col min="9" max="9" width="11.81640625" bestFit="1" customWidth="1"/>
    <col min="10" max="10" width="8.08984375" bestFit="1" customWidth="1"/>
    <col min="11" max="11" width="8" customWidth="1"/>
    <col min="12" max="12" width="7" customWidth="1"/>
  </cols>
  <sheetData>
    <row r="1" spans="1:12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4"/>
      <c r="J1" s="3" t="s">
        <v>63</v>
      </c>
      <c r="K1" s="3"/>
      <c r="L1" s="3"/>
    </row>
    <row r="2" spans="1:12" x14ac:dyDescent="0.35">
      <c r="A2" s="17" t="str">
        <f>Dataset_Rapi!A3</f>
        <v>P01</v>
      </c>
      <c r="B2" s="18">
        <f>Dataset_Rapi!B3</f>
        <v>1</v>
      </c>
      <c r="C2" s="19">
        <f>Dataset_Rapi!C3</f>
        <v>1</v>
      </c>
      <c r="D2" s="20">
        <f>Dataset_Rapi!D3</f>
        <v>50000</v>
      </c>
      <c r="E2" s="21">
        <f t="shared" ref="E2:E33" si="0">SQRT((B2-$J$2)^2+(C2-$K$2)^2+(D2-$L$2)^2)</f>
        <v>200248.84523262549</v>
      </c>
      <c r="F2" s="21">
        <f t="shared" ref="F2:F33" si="1">SQRT((B2-$J$3)^2+(C2-$K$3)^2+(D2-$L$3)^2)</f>
        <v>500098.99028292391</v>
      </c>
      <c r="G2" s="21">
        <f t="shared" ref="G2:G33" si="2">SQRT((B2-$J$4)^2+(C2-$K$4)^2+(D2-$L$4)^2)</f>
        <v>800561.30320981669</v>
      </c>
      <c r="H2" s="22">
        <f t="shared" ref="H2:H33" si="3">MATCH(MIN(E2:G2),E2:G2,0)</f>
        <v>1</v>
      </c>
      <c r="J2" s="2">
        <v>5</v>
      </c>
      <c r="K2" s="2">
        <v>200000</v>
      </c>
      <c r="L2" s="2">
        <v>40000</v>
      </c>
    </row>
    <row r="3" spans="1:12" x14ac:dyDescent="0.35">
      <c r="A3" s="17" t="str">
        <f>Dataset_Rapi!A4</f>
        <v>P02</v>
      </c>
      <c r="B3" s="18">
        <f>Dataset_Rapi!B4</f>
        <v>2</v>
      </c>
      <c r="C3" s="19">
        <f>Dataset_Rapi!C4</f>
        <v>2</v>
      </c>
      <c r="D3" s="20">
        <f>Dataset_Rapi!D4</f>
        <v>90000</v>
      </c>
      <c r="E3" s="21">
        <f t="shared" si="0"/>
        <v>206153.34101828182</v>
      </c>
      <c r="F3" s="21">
        <f t="shared" si="1"/>
        <v>500897.19510893652</v>
      </c>
      <c r="G3" s="21">
        <f t="shared" si="2"/>
        <v>800060.49782063358</v>
      </c>
      <c r="H3" s="22">
        <f t="shared" si="3"/>
        <v>1</v>
      </c>
      <c r="J3" s="2">
        <v>10</v>
      </c>
      <c r="K3" s="2">
        <v>500000</v>
      </c>
      <c r="L3" s="2">
        <v>60000</v>
      </c>
    </row>
    <row r="4" spans="1:12" x14ac:dyDescent="0.35">
      <c r="A4" s="17" t="str">
        <f>Dataset_Rapi!A5</f>
        <v>P03</v>
      </c>
      <c r="B4" s="18">
        <f>Dataset_Rapi!B5</f>
        <v>3</v>
      </c>
      <c r="C4" s="19">
        <f>Dataset_Rapi!C5</f>
        <v>2</v>
      </c>
      <c r="D4" s="20">
        <f>Dataset_Rapi!D5</f>
        <v>100000</v>
      </c>
      <c r="E4" s="21">
        <f t="shared" si="0"/>
        <v>208804.21453600979</v>
      </c>
      <c r="F4" s="21">
        <f t="shared" si="1"/>
        <v>501595.45457769051</v>
      </c>
      <c r="G4" s="21">
        <f t="shared" si="2"/>
        <v>800247.96166438307</v>
      </c>
      <c r="H4" s="22">
        <f t="shared" si="3"/>
        <v>1</v>
      </c>
      <c r="J4" s="2">
        <v>15</v>
      </c>
      <c r="K4" s="2">
        <v>800000</v>
      </c>
      <c r="L4" s="2">
        <v>80000</v>
      </c>
    </row>
    <row r="5" spans="1:12" x14ac:dyDescent="0.35">
      <c r="A5" s="17" t="str">
        <f>Dataset_Rapi!A6</f>
        <v>P04</v>
      </c>
      <c r="B5" s="18">
        <f>Dataset_Rapi!B6</f>
        <v>4</v>
      </c>
      <c r="C5" s="19">
        <f>Dataset_Rapi!C6</f>
        <v>3</v>
      </c>
      <c r="D5" s="20">
        <f>Dataset_Rapi!D6</f>
        <v>135000</v>
      </c>
      <c r="E5" s="21">
        <f t="shared" si="0"/>
        <v>221413.18842833189</v>
      </c>
      <c r="F5" s="21">
        <f t="shared" si="1"/>
        <v>505590.74363065627</v>
      </c>
      <c r="G5" s="21">
        <f t="shared" si="2"/>
        <v>801885.40336509433</v>
      </c>
      <c r="H5" s="22">
        <f t="shared" si="3"/>
        <v>1</v>
      </c>
      <c r="J5" s="2"/>
      <c r="K5" s="2"/>
      <c r="L5" s="2"/>
    </row>
    <row r="6" spans="1:12" x14ac:dyDescent="0.35">
      <c r="A6" s="17" t="str">
        <f>Dataset_Rapi!A7</f>
        <v>P05</v>
      </c>
      <c r="B6" s="18">
        <f>Dataset_Rapi!B7</f>
        <v>5</v>
      </c>
      <c r="C6" s="19">
        <f>Dataset_Rapi!C7</f>
        <v>3</v>
      </c>
      <c r="D6" s="20">
        <f>Dataset_Rapi!D7</f>
        <v>150000</v>
      </c>
      <c r="E6" s="21">
        <f t="shared" si="0"/>
        <v>228251.61556711927</v>
      </c>
      <c r="F6" s="21">
        <f t="shared" si="1"/>
        <v>508032.47931013227</v>
      </c>
      <c r="G6" s="21">
        <f t="shared" si="2"/>
        <v>803053.67199770652</v>
      </c>
      <c r="H6" s="22">
        <f t="shared" si="3"/>
        <v>1</v>
      </c>
      <c r="J6" s="2"/>
      <c r="K6" s="2"/>
      <c r="L6" s="2"/>
    </row>
    <row r="7" spans="1:12" x14ac:dyDescent="0.35">
      <c r="A7" s="17" t="str">
        <f>Dataset_Rapi!A8</f>
        <v>P06</v>
      </c>
      <c r="B7" s="18">
        <f>Dataset_Rapi!B8</f>
        <v>6</v>
      </c>
      <c r="C7" s="19">
        <f>Dataset_Rapi!C8</f>
        <v>4</v>
      </c>
      <c r="D7" s="20">
        <f>Dataset_Rapi!D8</f>
        <v>180000</v>
      </c>
      <c r="E7" s="21">
        <f t="shared" si="0"/>
        <v>244127.83539981671</v>
      </c>
      <c r="F7" s="21">
        <f t="shared" si="1"/>
        <v>514194.5157544954</v>
      </c>
      <c r="G7" s="21">
        <f t="shared" si="2"/>
        <v>806221.80576873512</v>
      </c>
      <c r="H7" s="22">
        <f t="shared" si="3"/>
        <v>1</v>
      </c>
    </row>
    <row r="8" spans="1:12" x14ac:dyDescent="0.35">
      <c r="A8" s="17" t="str">
        <f>Dataset_Rapi!A9</f>
        <v>P07</v>
      </c>
      <c r="B8" s="18">
        <f>Dataset_Rapi!B9</f>
        <v>7</v>
      </c>
      <c r="C8" s="19">
        <f>Dataset_Rapi!C9</f>
        <v>4</v>
      </c>
      <c r="D8" s="20">
        <f>Dataset_Rapi!D9</f>
        <v>200000</v>
      </c>
      <c r="E8" s="21">
        <f t="shared" si="0"/>
        <v>256121.84604207429</v>
      </c>
      <c r="F8" s="21">
        <f t="shared" si="1"/>
        <v>519226.34758359479</v>
      </c>
      <c r="G8" s="21">
        <f t="shared" si="2"/>
        <v>808945.98094063113</v>
      </c>
      <c r="H8" s="22">
        <f t="shared" si="3"/>
        <v>1</v>
      </c>
    </row>
    <row r="9" spans="1:12" x14ac:dyDescent="0.35">
      <c r="A9" s="17" t="str">
        <f>Dataset_Rapi!A10</f>
        <v>P08</v>
      </c>
      <c r="B9" s="18">
        <f>Dataset_Rapi!B10</f>
        <v>8</v>
      </c>
      <c r="C9" s="19">
        <f>Dataset_Rapi!C10</f>
        <v>5</v>
      </c>
      <c r="D9" s="20">
        <f>Dataset_Rapi!D10</f>
        <v>225000</v>
      </c>
      <c r="E9" s="21">
        <f t="shared" si="0"/>
        <v>272438.98405698111</v>
      </c>
      <c r="F9" s="21">
        <f t="shared" si="1"/>
        <v>526516.85635789472</v>
      </c>
      <c r="G9" s="21">
        <f t="shared" si="2"/>
        <v>813029.51980478549</v>
      </c>
      <c r="H9" s="22">
        <f t="shared" si="3"/>
        <v>1</v>
      </c>
    </row>
    <row r="10" spans="1:12" x14ac:dyDescent="0.35">
      <c r="A10" s="17" t="str">
        <f>Dataset_Rapi!A11</f>
        <v>P09</v>
      </c>
      <c r="B10" s="18">
        <f>Dataset_Rapi!B11</f>
        <v>9</v>
      </c>
      <c r="C10" s="19">
        <f>Dataset_Rapi!C11</f>
        <v>5</v>
      </c>
      <c r="D10" s="20">
        <f>Dataset_Rapi!D11</f>
        <v>250000</v>
      </c>
      <c r="E10" s="21">
        <f t="shared" si="0"/>
        <v>289996.55177432712</v>
      </c>
      <c r="F10" s="21">
        <f t="shared" si="1"/>
        <v>534878.49089863396</v>
      </c>
      <c r="G10" s="21">
        <f t="shared" si="2"/>
        <v>817858.17845210794</v>
      </c>
      <c r="H10" s="22">
        <f t="shared" si="3"/>
        <v>1</v>
      </c>
    </row>
    <row r="11" spans="1:12" x14ac:dyDescent="0.35">
      <c r="A11" s="17" t="str">
        <f>Dataset_Rapi!A12</f>
        <v>P10</v>
      </c>
      <c r="B11" s="18">
        <f>Dataset_Rapi!B12</f>
        <v>10</v>
      </c>
      <c r="C11" s="19">
        <f>Dataset_Rapi!C12</f>
        <v>6</v>
      </c>
      <c r="D11" s="20">
        <f>Dataset_Rapi!D12</f>
        <v>300000</v>
      </c>
      <c r="E11" s="21">
        <f t="shared" si="0"/>
        <v>328020.73114515183</v>
      </c>
      <c r="F11" s="21">
        <f t="shared" si="1"/>
        <v>554611.57582221448</v>
      </c>
      <c r="G11" s="21">
        <f t="shared" si="2"/>
        <v>829692.95529189589</v>
      </c>
      <c r="H11" s="22">
        <f t="shared" si="3"/>
        <v>1</v>
      </c>
    </row>
    <row r="12" spans="1:12" x14ac:dyDescent="0.35">
      <c r="A12" s="17" t="str">
        <f>Dataset_Rapi!A13</f>
        <v>P11</v>
      </c>
      <c r="B12" s="18">
        <f>Dataset_Rapi!B13</f>
        <v>11</v>
      </c>
      <c r="C12" s="19">
        <f>Dataset_Rapi!C13</f>
        <v>6</v>
      </c>
      <c r="D12" s="20">
        <f>Dataset_Rapi!D13</f>
        <v>330000</v>
      </c>
      <c r="E12" s="21">
        <f t="shared" si="0"/>
        <v>352274.89276415942</v>
      </c>
      <c r="F12" s="21">
        <f t="shared" si="1"/>
        <v>568237.62638266047</v>
      </c>
      <c r="G12" s="21">
        <f t="shared" si="2"/>
        <v>838147.00384359783</v>
      </c>
      <c r="H12" s="22">
        <f t="shared" si="3"/>
        <v>1</v>
      </c>
    </row>
    <row r="13" spans="1:12" x14ac:dyDescent="0.35">
      <c r="A13" s="17" t="str">
        <f>Dataset_Rapi!A14</f>
        <v>P12</v>
      </c>
      <c r="B13" s="18">
        <f>Dataset_Rapi!B14</f>
        <v>12</v>
      </c>
      <c r="C13" s="19">
        <f>Dataset_Rapi!C14</f>
        <v>7</v>
      </c>
      <c r="D13" s="20">
        <f>Dataset_Rapi!D14</f>
        <v>385000</v>
      </c>
      <c r="E13" s="21">
        <f t="shared" si="0"/>
        <v>398775.8770261812</v>
      </c>
      <c r="F13" s="21">
        <f t="shared" si="1"/>
        <v>596337.15300407039</v>
      </c>
      <c r="G13" s="21">
        <f t="shared" si="2"/>
        <v>856162.25101203797</v>
      </c>
      <c r="H13" s="22">
        <f t="shared" si="3"/>
        <v>1</v>
      </c>
    </row>
    <row r="14" spans="1:12" x14ac:dyDescent="0.35">
      <c r="A14" s="17" t="str">
        <f>Dataset_Rapi!A15</f>
        <v>P13</v>
      </c>
      <c r="B14" s="18">
        <f>Dataset_Rapi!B15</f>
        <v>13</v>
      </c>
      <c r="C14" s="19">
        <f>Dataset_Rapi!C15</f>
        <v>8</v>
      </c>
      <c r="D14" s="20">
        <f>Dataset_Rapi!D15</f>
        <v>440000</v>
      </c>
      <c r="E14" s="21">
        <f t="shared" si="0"/>
        <v>447210.0179199925</v>
      </c>
      <c r="F14" s="21">
        <f t="shared" si="1"/>
        <v>628006.36945257173</v>
      </c>
      <c r="G14" s="21">
        <f t="shared" si="2"/>
        <v>877261.19261483348</v>
      </c>
      <c r="H14" s="22">
        <f t="shared" si="3"/>
        <v>1</v>
      </c>
    </row>
    <row r="15" spans="1:12" x14ac:dyDescent="0.35">
      <c r="A15" s="17" t="str">
        <f>Dataset_Rapi!A16</f>
        <v>P14</v>
      </c>
      <c r="B15" s="18">
        <f>Dataset_Rapi!B16</f>
        <v>14</v>
      </c>
      <c r="C15" s="19">
        <f>Dataset_Rapi!C16</f>
        <v>9</v>
      </c>
      <c r="D15" s="20">
        <f>Dataset_Rapi!D16</f>
        <v>495000</v>
      </c>
      <c r="E15" s="21">
        <f t="shared" si="0"/>
        <v>497012.47485551104</v>
      </c>
      <c r="F15" s="21">
        <f t="shared" si="1"/>
        <v>662733.73242728482</v>
      </c>
      <c r="G15" s="21">
        <f t="shared" si="2"/>
        <v>901227.27437755675</v>
      </c>
      <c r="H15" s="22">
        <f t="shared" si="3"/>
        <v>1</v>
      </c>
    </row>
    <row r="16" spans="1:12" x14ac:dyDescent="0.35">
      <c r="A16" s="17" t="str">
        <f>Dataset_Rapi!A17</f>
        <v>P15</v>
      </c>
      <c r="B16" s="18">
        <f>Dataset_Rapi!B17</f>
        <v>15</v>
      </c>
      <c r="C16" s="19">
        <f>Dataset_Rapi!C17</f>
        <v>10</v>
      </c>
      <c r="D16" s="20">
        <f>Dataset_Rapi!D17</f>
        <v>550000</v>
      </c>
      <c r="E16" s="21">
        <f t="shared" si="0"/>
        <v>547810.18628718471</v>
      </c>
      <c r="F16" s="21">
        <f t="shared" si="1"/>
        <v>700064.28285193921</v>
      </c>
      <c r="G16" s="21">
        <f t="shared" si="2"/>
        <v>927838.34804345097</v>
      </c>
      <c r="H16" s="22">
        <f t="shared" si="3"/>
        <v>1</v>
      </c>
    </row>
    <row r="17" spans="1:8" x14ac:dyDescent="0.35">
      <c r="A17" s="17" t="str">
        <f>Dataset_Rapi!A18</f>
        <v>P16</v>
      </c>
      <c r="B17" s="18">
        <f>Dataset_Rapi!B18</f>
        <v>16</v>
      </c>
      <c r="C17" s="19">
        <f>Dataset_Rapi!C18</f>
        <v>11</v>
      </c>
      <c r="D17" s="20">
        <f>Dataset_Rapi!D18</f>
        <v>605000</v>
      </c>
      <c r="E17" s="21">
        <f t="shared" si="0"/>
        <v>599350.1482789506</v>
      </c>
      <c r="F17" s="21">
        <f t="shared" si="1"/>
        <v>739603.94817564357</v>
      </c>
      <c r="G17" s="21">
        <f t="shared" si="2"/>
        <v>956873.76394276798</v>
      </c>
      <c r="H17" s="22">
        <f t="shared" si="3"/>
        <v>1</v>
      </c>
    </row>
    <row r="18" spans="1:8" x14ac:dyDescent="0.35">
      <c r="A18" s="17" t="str">
        <f>Dataset_Rapi!A19</f>
        <v>P17</v>
      </c>
      <c r="B18" s="18">
        <f>Dataset_Rapi!B19</f>
        <v>17</v>
      </c>
      <c r="C18" s="19">
        <f>Dataset_Rapi!C19</f>
        <v>12</v>
      </c>
      <c r="D18" s="20">
        <f>Dataset_Rapi!D19</f>
        <v>660000</v>
      </c>
      <c r="E18" s="21">
        <f t="shared" si="0"/>
        <v>651456.21517336066</v>
      </c>
      <c r="F18" s="21">
        <f t="shared" si="1"/>
        <v>781017.28546364454</v>
      </c>
      <c r="G18" s="21">
        <f t="shared" si="2"/>
        <v>988119.83086465788</v>
      </c>
      <c r="H18" s="22">
        <f t="shared" si="3"/>
        <v>1</v>
      </c>
    </row>
    <row r="19" spans="1:8" x14ac:dyDescent="0.35">
      <c r="A19" s="17" t="str">
        <f>Dataset_Rapi!A20</f>
        <v>P18</v>
      </c>
      <c r="B19" s="18">
        <f>Dataset_Rapi!B20</f>
        <v>18</v>
      </c>
      <c r="C19" s="19">
        <f>Dataset_Rapi!C20</f>
        <v>13</v>
      </c>
      <c r="D19" s="20">
        <f>Dataset_Rapi!D20</f>
        <v>715000</v>
      </c>
      <c r="E19" s="21">
        <f t="shared" si="0"/>
        <v>704002.69909851905</v>
      </c>
      <c r="F19" s="21">
        <f t="shared" si="1"/>
        <v>824021.84451202501</v>
      </c>
      <c r="G19" s="21">
        <f t="shared" si="2"/>
        <v>1021373.6829280456</v>
      </c>
      <c r="H19" s="22">
        <f t="shared" si="3"/>
        <v>1</v>
      </c>
    </row>
    <row r="20" spans="1:8" x14ac:dyDescent="0.35">
      <c r="A20" s="17" t="str">
        <f>Dataset_Rapi!A21</f>
        <v>P19</v>
      </c>
      <c r="B20" s="18">
        <f>Dataset_Rapi!B21</f>
        <v>19</v>
      </c>
      <c r="C20" s="19">
        <f>Dataset_Rapi!C21</f>
        <v>14</v>
      </c>
      <c r="D20" s="20">
        <f>Dataset_Rapi!D21</f>
        <v>770000</v>
      </c>
      <c r="E20" s="21">
        <f t="shared" si="0"/>
        <v>756897.87976450298</v>
      </c>
      <c r="F20" s="21">
        <f t="shared" si="1"/>
        <v>868381.25283598795</v>
      </c>
      <c r="G20" s="21">
        <f t="shared" si="2"/>
        <v>1056445.7393600487</v>
      </c>
      <c r="H20" s="22">
        <f t="shared" si="3"/>
        <v>1</v>
      </c>
    </row>
    <row r="21" spans="1:8" x14ac:dyDescent="0.35">
      <c r="A21" s="17" t="str">
        <f>Dataset_Rapi!A22</f>
        <v>P20</v>
      </c>
      <c r="B21" s="18">
        <f>Dataset_Rapi!B22</f>
        <v>20</v>
      </c>
      <c r="C21" s="19">
        <f>Dataset_Rapi!C22</f>
        <v>15</v>
      </c>
      <c r="D21" s="20">
        <f>Dataset_Rapi!D22</f>
        <v>825000</v>
      </c>
      <c r="E21" s="21">
        <f t="shared" si="0"/>
        <v>810073.45373737556</v>
      </c>
      <c r="F21" s="21">
        <f t="shared" si="1"/>
        <v>913898.2439664714</v>
      </c>
      <c r="G21" s="21">
        <f t="shared" si="2"/>
        <v>1093161.0129573776</v>
      </c>
      <c r="H21" s="22">
        <f t="shared" si="3"/>
        <v>1</v>
      </c>
    </row>
    <row r="22" spans="1:8" x14ac:dyDescent="0.35">
      <c r="A22" s="17" t="str">
        <f>Dataset_Rapi!A23</f>
        <v>P21</v>
      </c>
      <c r="B22" s="18">
        <f>Dataset_Rapi!B23</f>
        <v>21</v>
      </c>
      <c r="C22" s="19">
        <f>Dataset_Rapi!C23</f>
        <v>16</v>
      </c>
      <c r="D22" s="20">
        <f>Dataset_Rapi!D23</f>
        <v>880000</v>
      </c>
      <c r="E22" s="21">
        <f t="shared" si="0"/>
        <v>863477.62015700212</v>
      </c>
      <c r="F22" s="21">
        <f t="shared" si="1"/>
        <v>960408.24672479776</v>
      </c>
      <c r="G22" s="21">
        <f t="shared" si="2"/>
        <v>1131359.5362624563</v>
      </c>
      <c r="H22" s="22">
        <f t="shared" si="3"/>
        <v>1</v>
      </c>
    </row>
    <row r="23" spans="1:8" x14ac:dyDescent="0.35">
      <c r="A23" s="17" t="str">
        <f>Dataset_Rapi!A24</f>
        <v>P22</v>
      </c>
      <c r="B23" s="18">
        <f>Dataset_Rapi!B24</f>
        <v>22</v>
      </c>
      <c r="C23" s="19">
        <f>Dataset_Rapi!C24</f>
        <v>17</v>
      </c>
      <c r="D23" s="20">
        <f>Dataset_Rapi!D24</f>
        <v>935000</v>
      </c>
      <c r="E23" s="21">
        <f t="shared" si="0"/>
        <v>917070.44471948827</v>
      </c>
      <c r="F23" s="21">
        <f t="shared" si="1"/>
        <v>1007773.7843549018</v>
      </c>
      <c r="G23" s="21">
        <f t="shared" si="2"/>
        <v>1170896.1526702528</v>
      </c>
      <c r="H23" s="22">
        <f t="shared" si="3"/>
        <v>1</v>
      </c>
    </row>
    <row r="24" spans="1:8" x14ac:dyDescent="0.35">
      <c r="A24" s="17" t="str">
        <f>Dataset_Rapi!A25</f>
        <v>P23</v>
      </c>
      <c r="B24" s="18">
        <f>Dataset_Rapi!B25</f>
        <v>23</v>
      </c>
      <c r="C24" s="19">
        <f>Dataset_Rapi!C25</f>
        <v>18</v>
      </c>
      <c r="D24" s="20">
        <f>Dataset_Rapi!D25</f>
        <v>990000</v>
      </c>
      <c r="E24" s="21">
        <f t="shared" si="0"/>
        <v>970820.68408537738</v>
      </c>
      <c r="F24" s="21">
        <f t="shared" si="1"/>
        <v>1055879.7282328135</v>
      </c>
      <c r="G24" s="21">
        <f t="shared" si="2"/>
        <v>1211639.8806526633</v>
      </c>
      <c r="H24" s="22">
        <f t="shared" si="3"/>
        <v>1</v>
      </c>
    </row>
    <row r="25" spans="1:8" x14ac:dyDescent="0.35">
      <c r="A25" s="17" t="str">
        <f>Dataset_Rapi!A26</f>
        <v>P24</v>
      </c>
      <c r="B25" s="18">
        <f>Dataset_Rapi!B26</f>
        <v>24</v>
      </c>
      <c r="C25" s="19">
        <f>Dataset_Rapi!C26</f>
        <v>19</v>
      </c>
      <c r="D25" s="20">
        <f>Dataset_Rapi!D26</f>
        <v>1045000</v>
      </c>
      <c r="E25" s="21">
        <f t="shared" si="0"/>
        <v>1024703.5672437176</v>
      </c>
      <c r="F25" s="21">
        <f t="shared" si="1"/>
        <v>1104629.3498531533</v>
      </c>
      <c r="G25" s="21">
        <f t="shared" si="2"/>
        <v>1253473.015442295</v>
      </c>
      <c r="H25" s="22">
        <f t="shared" si="3"/>
        <v>1</v>
      </c>
    </row>
    <row r="26" spans="1:8" x14ac:dyDescent="0.35">
      <c r="A26" s="17" t="str">
        <f>Dataset_Rapi!A27</f>
        <v>P25</v>
      </c>
      <c r="B26" s="18">
        <f>Dataset_Rapi!B27</f>
        <v>25</v>
      </c>
      <c r="C26" s="19">
        <f>Dataset_Rapi!C27</f>
        <v>20</v>
      </c>
      <c r="D26" s="20">
        <f>Dataset_Rapi!D27</f>
        <v>1100000</v>
      </c>
      <c r="E26" s="21">
        <f t="shared" si="0"/>
        <v>1078699.2170202034</v>
      </c>
      <c r="F26" s="21">
        <f t="shared" si="1"/>
        <v>1153941.0732897066</v>
      </c>
      <c r="G26" s="21">
        <f t="shared" si="2"/>
        <v>1296290.0911832969</v>
      </c>
      <c r="H26" s="22">
        <f t="shared" si="3"/>
        <v>1</v>
      </c>
    </row>
    <row r="27" spans="1:8" x14ac:dyDescent="0.35">
      <c r="A27" s="17" t="str">
        <f>Dataset_Rapi!A28</f>
        <v>P26</v>
      </c>
      <c r="B27" s="18">
        <f>Dataset_Rapi!B28</f>
        <v>26</v>
      </c>
      <c r="C27" s="19">
        <f>Dataset_Rapi!C28</f>
        <v>22</v>
      </c>
      <c r="D27" s="20">
        <f>Dataset_Rapi!D28</f>
        <v>1210000</v>
      </c>
      <c r="E27" s="21">
        <f t="shared" si="0"/>
        <v>1186967.2282438972</v>
      </c>
      <c r="F27" s="21">
        <f t="shared" si="1"/>
        <v>1253984.8486883724</v>
      </c>
      <c r="G27" s="21">
        <f t="shared" si="2"/>
        <v>1384508.8662067137</v>
      </c>
      <c r="H27" s="22">
        <f t="shared" si="3"/>
        <v>1</v>
      </c>
    </row>
    <row r="28" spans="1:8" x14ac:dyDescent="0.35">
      <c r="A28" s="17" t="str">
        <f>Dataset_Rapi!A29</f>
        <v>P27</v>
      </c>
      <c r="B28" s="18">
        <f>Dataset_Rapi!B29</f>
        <v>27</v>
      </c>
      <c r="C28" s="19">
        <f>Dataset_Rapi!C29</f>
        <v>24</v>
      </c>
      <c r="D28" s="20">
        <f>Dataset_Rapi!D29</f>
        <v>1320000</v>
      </c>
      <c r="E28" s="21">
        <f t="shared" si="0"/>
        <v>1295527.074614807</v>
      </c>
      <c r="F28" s="21">
        <f t="shared" si="1"/>
        <v>1355572.2042241055</v>
      </c>
      <c r="G28" s="21">
        <f t="shared" si="2"/>
        <v>1475656.328797461</v>
      </c>
      <c r="H28" s="22">
        <f t="shared" si="3"/>
        <v>1</v>
      </c>
    </row>
    <row r="29" spans="1:8" x14ac:dyDescent="0.35">
      <c r="A29" s="17" t="str">
        <f>Dataset_Rapi!A30</f>
        <v>P28</v>
      </c>
      <c r="B29" s="18">
        <f>Dataset_Rapi!B30</f>
        <v>28</v>
      </c>
      <c r="C29" s="19">
        <f>Dataset_Rapi!C30</f>
        <v>26</v>
      </c>
      <c r="D29" s="20">
        <f>Dataset_Rapi!D30</f>
        <v>1430000</v>
      </c>
      <c r="E29" s="21">
        <f t="shared" si="0"/>
        <v>1404311.077078366</v>
      </c>
      <c r="F29" s="21">
        <f t="shared" si="1"/>
        <v>1458380.6091003816</v>
      </c>
      <c r="G29" s="21">
        <f t="shared" si="2"/>
        <v>1569222.227998635</v>
      </c>
      <c r="H29" s="22">
        <f t="shared" si="3"/>
        <v>1</v>
      </c>
    </row>
    <row r="30" spans="1:8" x14ac:dyDescent="0.35">
      <c r="A30" s="17" t="str">
        <f>Dataset_Rapi!A31</f>
        <v>P29</v>
      </c>
      <c r="B30" s="18">
        <f>Dataset_Rapi!B31</f>
        <v>29</v>
      </c>
      <c r="C30" s="19">
        <f>Dataset_Rapi!C31</f>
        <v>28</v>
      </c>
      <c r="D30" s="20">
        <f>Dataset_Rapi!D31</f>
        <v>1540000</v>
      </c>
      <c r="E30" s="21">
        <f t="shared" si="0"/>
        <v>1513270.8949028261</v>
      </c>
      <c r="F30" s="21">
        <f t="shared" si="1"/>
        <v>1562169.0053080043</v>
      </c>
      <c r="G30" s="21">
        <f t="shared" si="2"/>
        <v>1664798.8470022436</v>
      </c>
      <c r="H30" s="22">
        <f t="shared" si="3"/>
        <v>1</v>
      </c>
    </row>
    <row r="31" spans="1:8" x14ac:dyDescent="0.35">
      <c r="A31" s="17" t="str">
        <f>Dataset_Rapi!A32</f>
        <v>P30</v>
      </c>
      <c r="B31" s="18">
        <f>Dataset_Rapi!B32</f>
        <v>30</v>
      </c>
      <c r="C31" s="19">
        <f>Dataset_Rapi!C32</f>
        <v>30</v>
      </c>
      <c r="D31" s="20">
        <f>Dataset_Rapi!D32</f>
        <v>1650000</v>
      </c>
      <c r="E31" s="21">
        <f t="shared" si="0"/>
        <v>1622371.1047491569</v>
      </c>
      <c r="F31" s="21">
        <f t="shared" si="1"/>
        <v>1666754.3314178009</v>
      </c>
      <c r="G31" s="21">
        <f t="shared" si="2"/>
        <v>1762059.0231672151</v>
      </c>
      <c r="H31" s="22">
        <f t="shared" si="3"/>
        <v>1</v>
      </c>
    </row>
    <row r="32" spans="1:8" x14ac:dyDescent="0.35">
      <c r="A32" s="17" t="str">
        <f>Dataset_Rapi!A33</f>
        <v>P31</v>
      </c>
      <c r="B32" s="18">
        <f>Dataset_Rapi!B33</f>
        <v>31</v>
      </c>
      <c r="C32" s="19">
        <f>Dataset_Rapi!C33</f>
        <v>32</v>
      </c>
      <c r="D32" s="20">
        <f>Dataset_Rapi!D33</f>
        <v>1760000</v>
      </c>
      <c r="E32" s="21">
        <f t="shared" si="0"/>
        <v>1731585.1702125426</v>
      </c>
      <c r="F32" s="21">
        <f t="shared" si="1"/>
        <v>1771995.4857349384</v>
      </c>
      <c r="G32" s="21">
        <f t="shared" si="2"/>
        <v>1860738.7783565968</v>
      </c>
      <c r="H32" s="22">
        <f t="shared" si="3"/>
        <v>1</v>
      </c>
    </row>
    <row r="33" spans="1:8" x14ac:dyDescent="0.35">
      <c r="A33" s="17" t="str">
        <f>Dataset_Rapi!A34</f>
        <v>P32</v>
      </c>
      <c r="B33" s="18">
        <f>Dataset_Rapi!B34</f>
        <v>32</v>
      </c>
      <c r="C33" s="19">
        <f>Dataset_Rapi!C34</f>
        <v>34</v>
      </c>
      <c r="D33" s="20">
        <f>Dataset_Rapi!D34</f>
        <v>1870000</v>
      </c>
      <c r="E33" s="21">
        <f t="shared" si="0"/>
        <v>1840892.8273761622</v>
      </c>
      <c r="F33" s="21">
        <f t="shared" si="1"/>
        <v>1877782.2029298285</v>
      </c>
      <c r="G33" s="21">
        <f t="shared" si="2"/>
        <v>1960623.7786594857</v>
      </c>
      <c r="H33" s="22">
        <f t="shared" si="3"/>
        <v>1</v>
      </c>
    </row>
    <row r="34" spans="1:8" x14ac:dyDescent="0.35">
      <c r="A34" s="17" t="str">
        <f>Dataset_Rapi!A35</f>
        <v>P33</v>
      </c>
      <c r="B34" s="18">
        <f>Dataset_Rapi!B35</f>
        <v>33</v>
      </c>
      <c r="C34" s="19">
        <f>Dataset_Rapi!C35</f>
        <v>36</v>
      </c>
      <c r="D34" s="20">
        <f>Dataset_Rapi!D35</f>
        <v>1980000</v>
      </c>
      <c r="E34" s="21">
        <f t="shared" ref="E34:E65" si="4">SQRT((B34-$J$2)^2+(C34-$K$2)^2+(D34-$L$2)^2)</f>
        <v>1950278.3396428316</v>
      </c>
      <c r="F34" s="21">
        <f t="shared" ref="F34:F51" si="5">SQRT((B34-$J$3)^2+(C34-$K$3)^2+(D34-$L$3)^2)</f>
        <v>1984027.2180151662</v>
      </c>
      <c r="G34" s="21">
        <f t="shared" ref="G34:G51" si="6">SQRT((B34-$J$4)^2+(C34-$K$4)^2+(D34-$L$4)^2)</f>
        <v>2061538.8431024044</v>
      </c>
      <c r="H34" s="22">
        <f t="shared" ref="H34:H65" si="7">MATCH(MIN(E34:G34),E34:G34,0)</f>
        <v>1</v>
      </c>
    </row>
    <row r="35" spans="1:8" x14ac:dyDescent="0.35">
      <c r="A35" s="17" t="str">
        <f>Dataset_Rapi!A36</f>
        <v>P34</v>
      </c>
      <c r="B35" s="18">
        <f>Dataset_Rapi!B36</f>
        <v>34</v>
      </c>
      <c r="C35" s="19">
        <f>Dataset_Rapi!C36</f>
        <v>38</v>
      </c>
      <c r="D35" s="20">
        <f>Dataset_Rapi!D36</f>
        <v>2090000</v>
      </c>
      <c r="E35" s="21">
        <f t="shared" si="4"/>
        <v>2059729.3031573349</v>
      </c>
      <c r="F35" s="21">
        <f t="shared" si="5"/>
        <v>2090660.6616139312</v>
      </c>
      <c r="G35" s="21">
        <f t="shared" si="6"/>
        <v>2163339.8257798059</v>
      </c>
      <c r="H35" s="22">
        <f t="shared" si="7"/>
        <v>1</v>
      </c>
    </row>
    <row r="36" spans="1:8" x14ac:dyDescent="0.35">
      <c r="A36" s="17" t="str">
        <f>Dataset_Rapi!A37</f>
        <v>P35</v>
      </c>
      <c r="B36" s="18">
        <f>Dataset_Rapi!B37</f>
        <v>35</v>
      </c>
      <c r="C36" s="19">
        <f>Dataset_Rapi!C37</f>
        <v>40</v>
      </c>
      <c r="D36" s="20">
        <f>Dataset_Rapi!D37</f>
        <v>2200000</v>
      </c>
      <c r="E36" s="21">
        <f t="shared" si="4"/>
        <v>2169235.8107176824</v>
      </c>
      <c r="F36" s="21">
        <f t="shared" si="5"/>
        <v>2197625.9923437838</v>
      </c>
      <c r="G36" s="21">
        <f t="shared" si="6"/>
        <v>2265907.3242301857</v>
      </c>
      <c r="H36" s="22">
        <f t="shared" si="7"/>
        <v>1</v>
      </c>
    </row>
    <row r="37" spans="1:8" x14ac:dyDescent="0.35">
      <c r="A37" s="17" t="str">
        <f>Dataset_Rapi!A38</f>
        <v>P36</v>
      </c>
      <c r="B37" s="18">
        <f>Dataset_Rapi!B38</f>
        <v>36</v>
      </c>
      <c r="C37" s="19">
        <f>Dataset_Rapi!C38</f>
        <v>42</v>
      </c>
      <c r="D37" s="20">
        <f>Dataset_Rapi!D38</f>
        <v>2310000</v>
      </c>
      <c r="E37" s="21">
        <f t="shared" si="4"/>
        <v>2278789.8548846054</v>
      </c>
      <c r="F37" s="21">
        <f t="shared" si="5"/>
        <v>2304877.003755298</v>
      </c>
      <c r="G37" s="21">
        <f t="shared" si="6"/>
        <v>2369141.7860071189</v>
      </c>
      <c r="H37" s="22">
        <f t="shared" si="7"/>
        <v>1</v>
      </c>
    </row>
    <row r="38" spans="1:8" x14ac:dyDescent="0.35">
      <c r="A38" s="17" t="str">
        <f>Dataset_Rapi!A39</f>
        <v>P37</v>
      </c>
      <c r="B38" s="18">
        <f>Dataset_Rapi!B39</f>
        <v>37</v>
      </c>
      <c r="C38" s="19">
        <f>Dataset_Rapi!C39</f>
        <v>44</v>
      </c>
      <c r="D38" s="20">
        <f>Dataset_Rapi!D39</f>
        <v>2420000</v>
      </c>
      <c r="E38" s="21">
        <f t="shared" si="4"/>
        <v>2388384.8942245468</v>
      </c>
      <c r="F38" s="21">
        <f t="shared" si="5"/>
        <v>2412375.5931995749</v>
      </c>
      <c r="G38" s="21">
        <f t="shared" si="6"/>
        <v>2472959.6847542822</v>
      </c>
      <c r="H38" s="22">
        <f t="shared" si="7"/>
        <v>1</v>
      </c>
    </row>
    <row r="39" spans="1:8" x14ac:dyDescent="0.35">
      <c r="A39" s="17" t="str">
        <f>Dataset_Rapi!A40</f>
        <v>P38</v>
      </c>
      <c r="B39" s="18">
        <f>Dataset_Rapi!B40</f>
        <v>38</v>
      </c>
      <c r="C39" s="19">
        <f>Dataset_Rapi!C40</f>
        <v>46</v>
      </c>
      <c r="D39" s="20">
        <f>Dataset_Rapi!D40</f>
        <v>2530000</v>
      </c>
      <c r="E39" s="21">
        <f t="shared" si="4"/>
        <v>2498015.5330191604</v>
      </c>
      <c r="F39" s="21">
        <f t="shared" si="5"/>
        <v>2520090.0783305345</v>
      </c>
      <c r="G39" s="21">
        <f t="shared" si="6"/>
        <v>2577290.5157635994</v>
      </c>
      <c r="H39" s="22">
        <f t="shared" si="7"/>
        <v>1</v>
      </c>
    </row>
    <row r="40" spans="1:8" x14ac:dyDescent="0.35">
      <c r="A40" s="17" t="str">
        <f>Dataset_Rapi!A41</f>
        <v>P39</v>
      </c>
      <c r="B40" s="18">
        <f>Dataset_Rapi!B41</f>
        <v>39</v>
      </c>
      <c r="C40" s="19">
        <f>Dataset_Rapi!C41</f>
        <v>48</v>
      </c>
      <c r="D40" s="20">
        <f>Dataset_Rapi!D41</f>
        <v>2640000</v>
      </c>
      <c r="E40" s="21">
        <f t="shared" si="4"/>
        <v>2607677.2813099399</v>
      </c>
      <c r="F40" s="21">
        <f t="shared" si="5"/>
        <v>2627993.9123112517</v>
      </c>
      <c r="G40" s="21">
        <f t="shared" si="6"/>
        <v>2682074.4215774476</v>
      </c>
      <c r="H40" s="22">
        <f t="shared" si="7"/>
        <v>1</v>
      </c>
    </row>
    <row r="41" spans="1:8" x14ac:dyDescent="0.35">
      <c r="A41" s="17" t="str">
        <f>Dataset_Rapi!A42</f>
        <v>P40</v>
      </c>
      <c r="B41" s="18">
        <f>Dataset_Rapi!B42</f>
        <v>40</v>
      </c>
      <c r="C41" s="19">
        <f>Dataset_Rapi!C42</f>
        <v>50</v>
      </c>
      <c r="D41" s="20">
        <f>Dataset_Rapi!D42</f>
        <v>2750000</v>
      </c>
      <c r="E41" s="21">
        <f t="shared" si="4"/>
        <v>2717366.3727449416</v>
      </c>
      <c r="F41" s="21">
        <f t="shared" si="5"/>
        <v>2736064.6928389687</v>
      </c>
      <c r="G41" s="21">
        <f t="shared" si="6"/>
        <v>2787260.3041562159</v>
      </c>
      <c r="H41" s="22">
        <f t="shared" si="7"/>
        <v>1</v>
      </c>
    </row>
    <row r="42" spans="1:8" x14ac:dyDescent="0.35">
      <c r="A42" s="17" t="str">
        <f>Dataset_Rapi!A43</f>
        <v>P41</v>
      </c>
      <c r="B42" s="18">
        <f>Dataset_Rapi!B43</f>
        <v>41</v>
      </c>
      <c r="C42" s="19">
        <f>Dataset_Rapi!C43</f>
        <v>52</v>
      </c>
      <c r="D42" s="20">
        <f>Dataset_Rapi!D43</f>
        <v>2860000</v>
      </c>
      <c r="E42" s="21">
        <f t="shared" si="4"/>
        <v>2827079.6246303357</v>
      </c>
      <c r="F42" s="21">
        <f t="shared" si="5"/>
        <v>2844283.3901819629</v>
      </c>
      <c r="G42" s="21">
        <f t="shared" si="6"/>
        <v>2892804.3147402834</v>
      </c>
      <c r="H42" s="22">
        <f t="shared" si="7"/>
        <v>1</v>
      </c>
    </row>
    <row r="43" spans="1:8" x14ac:dyDescent="0.35">
      <c r="A43" s="17" t="str">
        <f>Dataset_Rapi!A44</f>
        <v>P42</v>
      </c>
      <c r="B43" s="18">
        <f>Dataset_Rapi!B44</f>
        <v>42</v>
      </c>
      <c r="C43" s="19">
        <f>Dataset_Rapi!C44</f>
        <v>54</v>
      </c>
      <c r="D43" s="20">
        <f>Dataset_Rapi!D44</f>
        <v>2970000</v>
      </c>
      <c r="E43" s="21">
        <f t="shared" si="4"/>
        <v>2936814.3292154172</v>
      </c>
      <c r="F43" s="21">
        <f t="shared" si="5"/>
        <v>2952633.7402292211</v>
      </c>
      <c r="G43" s="21">
        <f t="shared" si="6"/>
        <v>2998668.6385202683</v>
      </c>
      <c r="H43" s="22">
        <f t="shared" si="7"/>
        <v>1</v>
      </c>
    </row>
    <row r="44" spans="1:8" x14ac:dyDescent="0.35">
      <c r="A44" s="17" t="str">
        <f>Dataset_Rapi!A45</f>
        <v>P43</v>
      </c>
      <c r="B44" s="18">
        <f>Dataset_Rapi!B45</f>
        <v>43</v>
      </c>
      <c r="C44" s="19">
        <f>Dataset_Rapi!C45</f>
        <v>56</v>
      </c>
      <c r="D44" s="20">
        <f>Dataset_Rapi!D45</f>
        <v>3080000</v>
      </c>
      <c r="E44" s="21">
        <f t="shared" si="4"/>
        <v>3046568.1683789715</v>
      </c>
      <c r="F44" s="21">
        <f t="shared" si="5"/>
        <v>3061101.7631279426</v>
      </c>
      <c r="G44" s="21">
        <f t="shared" si="6"/>
        <v>3104820.5107413214</v>
      </c>
      <c r="H44" s="22">
        <f t="shared" si="7"/>
        <v>1</v>
      </c>
    </row>
    <row r="45" spans="1:8" x14ac:dyDescent="0.35">
      <c r="A45" s="17" t="str">
        <f>Dataset_Rapi!A46</f>
        <v>P44</v>
      </c>
      <c r="B45" s="18">
        <f>Dataset_Rapi!B46</f>
        <v>44</v>
      </c>
      <c r="C45" s="19">
        <f>Dataset_Rapi!C46</f>
        <v>58</v>
      </c>
      <c r="D45" s="20">
        <f>Dataset_Rapi!D46</f>
        <v>3190000</v>
      </c>
      <c r="E45" s="21">
        <f t="shared" si="4"/>
        <v>3156339.1460495815</v>
      </c>
      <c r="F45" s="21">
        <f t="shared" si="5"/>
        <v>3169675.3784133792</v>
      </c>
      <c r="G45" s="21">
        <f t="shared" si="6"/>
        <v>3211231.4155484028</v>
      </c>
      <c r="H45" s="22">
        <f t="shared" si="7"/>
        <v>1</v>
      </c>
    </row>
    <row r="46" spans="1:8" x14ac:dyDescent="0.35">
      <c r="A46" s="17" t="str">
        <f>Dataset_Rapi!A47</f>
        <v>P45</v>
      </c>
      <c r="B46" s="18">
        <f>Dataset_Rapi!B47</f>
        <v>45</v>
      </c>
      <c r="C46" s="19">
        <f>Dataset_Rapi!C47</f>
        <v>60</v>
      </c>
      <c r="D46" s="20">
        <f>Dataset_Rapi!D47</f>
        <v>3300000</v>
      </c>
      <c r="E46" s="21">
        <f t="shared" si="4"/>
        <v>3266125.5342071592</v>
      </c>
      <c r="F46" s="21">
        <f t="shared" si="5"/>
        <v>3278344.0949395476</v>
      </c>
      <c r="G46" s="21">
        <f t="shared" si="6"/>
        <v>3317876.4299623938</v>
      </c>
      <c r="H46" s="22">
        <f t="shared" si="7"/>
        <v>1</v>
      </c>
    </row>
    <row r="47" spans="1:8" x14ac:dyDescent="0.35">
      <c r="A47" s="17" t="str">
        <f>Dataset_Rapi!A48</f>
        <v>P46</v>
      </c>
      <c r="B47" s="18">
        <f>Dataset_Rapi!B48</f>
        <v>46</v>
      </c>
      <c r="C47" s="19">
        <f>Dataset_Rapi!C48</f>
        <v>62</v>
      </c>
      <c r="D47" s="20">
        <f>Dataset_Rapi!D48</f>
        <v>3410000</v>
      </c>
      <c r="E47" s="21">
        <f t="shared" si="4"/>
        <v>3375925.8293873994</v>
      </c>
      <c r="F47" s="21">
        <f t="shared" si="5"/>
        <v>3387098.7592835259</v>
      </c>
      <c r="G47" s="21">
        <f t="shared" si="6"/>
        <v>3424733.6837781998</v>
      </c>
      <c r="H47" s="22">
        <f t="shared" si="7"/>
        <v>1</v>
      </c>
    </row>
    <row r="48" spans="1:8" x14ac:dyDescent="0.35">
      <c r="A48" s="17" t="str">
        <f>Dataset_Rapi!A49</f>
        <v>P47</v>
      </c>
      <c r="B48" s="18">
        <f>Dataset_Rapi!B49</f>
        <v>47</v>
      </c>
      <c r="C48" s="19">
        <f>Dataset_Rapi!C49</f>
        <v>64</v>
      </c>
      <c r="D48" s="20">
        <f>Dataset_Rapi!D49</f>
        <v>3520000</v>
      </c>
      <c r="E48" s="21">
        <f t="shared" si="4"/>
        <v>3485738.7173825866</v>
      </c>
      <c r="F48" s="21">
        <f t="shared" si="5"/>
        <v>3495931.3502219976</v>
      </c>
      <c r="G48" s="21">
        <f t="shared" si="6"/>
        <v>3531783.9125744938</v>
      </c>
      <c r="H48" s="22">
        <f t="shared" si="7"/>
        <v>1</v>
      </c>
    </row>
    <row r="49" spans="1:8" x14ac:dyDescent="0.35">
      <c r="A49" s="17" t="str">
        <f>Dataset_Rapi!A50</f>
        <v>P48</v>
      </c>
      <c r="B49" s="18">
        <f>Dataset_Rapi!B50</f>
        <v>48</v>
      </c>
      <c r="C49" s="19">
        <f>Dataset_Rapi!C50</f>
        <v>66</v>
      </c>
      <c r="D49" s="20">
        <f>Dataset_Rapi!D50</f>
        <v>3630000</v>
      </c>
      <c r="E49" s="21">
        <f t="shared" si="4"/>
        <v>3595563.0443930477</v>
      </c>
      <c r="F49" s="21">
        <f t="shared" si="5"/>
        <v>3604834.8097797767</v>
      </c>
      <c r="G49" s="21">
        <f t="shared" si="6"/>
        <v>3639010.0859224065</v>
      </c>
      <c r="H49" s="22">
        <f t="shared" si="7"/>
        <v>1</v>
      </c>
    </row>
    <row r="50" spans="1:8" x14ac:dyDescent="0.35">
      <c r="A50" s="17" t="str">
        <f>Dataset_Rapi!A51</f>
        <v>P49</v>
      </c>
      <c r="B50" s="18">
        <f>Dataset_Rapi!B51</f>
        <v>49</v>
      </c>
      <c r="C50" s="19">
        <f>Dataset_Rapi!C51</f>
        <v>68</v>
      </c>
      <c r="D50" s="20">
        <f>Dataset_Rapi!D51</f>
        <v>3740000</v>
      </c>
      <c r="E50" s="21">
        <f t="shared" si="4"/>
        <v>3705397.793295613</v>
      </c>
      <c r="F50" s="21">
        <f t="shared" si="5"/>
        <v>3713802.903513459</v>
      </c>
      <c r="G50" s="21">
        <f t="shared" si="6"/>
        <v>3746397.0966489925</v>
      </c>
      <c r="H50" s="22">
        <f t="shared" si="7"/>
        <v>1</v>
      </c>
    </row>
    <row r="51" spans="1:8" x14ac:dyDescent="0.35">
      <c r="A51" s="17" t="str">
        <f>Dataset_Rapi!A52</f>
        <v>P50</v>
      </c>
      <c r="B51" s="18">
        <f>Dataset_Rapi!B52</f>
        <v>50</v>
      </c>
      <c r="C51" s="19">
        <f>Dataset_Rapi!C52</f>
        <v>70</v>
      </c>
      <c r="D51" s="20">
        <f>Dataset_Rapi!D52</f>
        <v>3850000</v>
      </c>
      <c r="E51" s="21">
        <f t="shared" si="4"/>
        <v>3815242.0640013129</v>
      </c>
      <c r="F51" s="21">
        <f t="shared" si="5"/>
        <v>3822830.1043206197</v>
      </c>
      <c r="G51" s="21">
        <f t="shared" si="6"/>
        <v>3853931.4999264064</v>
      </c>
      <c r="H51" s="22">
        <f t="shared" si="7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topLeftCell="A28" workbookViewId="0">
      <selection activeCell="I13" sqref="I13"/>
    </sheetView>
  </sheetViews>
  <sheetFormatPr defaultRowHeight="14.5" x14ac:dyDescent="0.35"/>
  <cols>
    <col min="1" max="1" width="3.81640625" bestFit="1" customWidth="1"/>
    <col min="2" max="2" width="8.90625" bestFit="1" customWidth="1"/>
    <col min="3" max="3" width="12.26953125" bestFit="1" customWidth="1"/>
    <col min="4" max="4" width="9.453125" bestFit="1" customWidth="1"/>
    <col min="5" max="7" width="11.81640625" bestFit="1" customWidth="1"/>
    <col min="8" max="8" width="8.26953125" bestFit="1" customWidth="1"/>
    <col min="9" max="9" width="11.81640625" bestFit="1" customWidth="1"/>
    <col min="10" max="10" width="35.6328125" bestFit="1" customWidth="1"/>
    <col min="11" max="11" width="8" customWidth="1"/>
    <col min="12" max="12" width="7" customWidth="1"/>
  </cols>
  <sheetData>
    <row r="1" spans="1:12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4"/>
      <c r="J1" s="3" t="s">
        <v>63</v>
      </c>
      <c r="K1" s="3"/>
      <c r="L1" s="3"/>
    </row>
    <row r="2" spans="1:12" x14ac:dyDescent="0.35">
      <c r="A2" s="17" t="str">
        <f>Dataset_Rapi!A3</f>
        <v>P01</v>
      </c>
      <c r="B2" s="18">
        <f>Dataset_Rapi!B3</f>
        <v>1</v>
      </c>
      <c r="C2" s="19">
        <f>Dataset_Rapi!C3</f>
        <v>1</v>
      </c>
      <c r="D2" s="20">
        <f>Dataset_Rapi!D3</f>
        <v>50000</v>
      </c>
      <c r="E2" s="21">
        <f t="shared" ref="E2:E33" si="0">SQRT((B2-$J$2)^2+(C2-$K$2)^2+(D2-$L$2)^2)</f>
        <v>200248.84523262549</v>
      </c>
      <c r="F2" s="21">
        <f t="shared" ref="F2:F33" si="1">SQRT((B2-$J$3)^2+(C2-$K$3)^2+(D2-$L$3)^2)</f>
        <v>500098.99028292391</v>
      </c>
      <c r="G2" s="21">
        <f t="shared" ref="G2:G33" si="2">SQRT((B2-$J$4)^2+(C2-$K$4)^2+(D2-$L$4)^2)</f>
        <v>800561.30320981669</v>
      </c>
      <c r="H2" s="22">
        <f t="shared" ref="H2:H33" si="3">MATCH(MIN(E2:G2),E2:G2,0)</f>
        <v>1</v>
      </c>
      <c r="J2" s="2">
        <v>5</v>
      </c>
      <c r="K2" s="2">
        <v>200000</v>
      </c>
      <c r="L2" s="2">
        <v>40000</v>
      </c>
    </row>
    <row r="3" spans="1:12" x14ac:dyDescent="0.35">
      <c r="A3" s="17" t="str">
        <f>Dataset_Rapi!A4</f>
        <v>P02</v>
      </c>
      <c r="B3" s="18">
        <f>Dataset_Rapi!B4</f>
        <v>2</v>
      </c>
      <c r="C3" s="19">
        <f>Dataset_Rapi!C4</f>
        <v>2</v>
      </c>
      <c r="D3" s="20">
        <f>Dataset_Rapi!D4</f>
        <v>90000</v>
      </c>
      <c r="E3" s="21">
        <f t="shared" si="0"/>
        <v>206153.34101828182</v>
      </c>
      <c r="F3" s="21">
        <f t="shared" si="1"/>
        <v>500897.19510893652</v>
      </c>
      <c r="G3" s="21">
        <f t="shared" si="2"/>
        <v>800060.49782063358</v>
      </c>
      <c r="H3" s="22">
        <f t="shared" si="3"/>
        <v>1</v>
      </c>
      <c r="J3" s="2">
        <v>10</v>
      </c>
      <c r="K3" s="2">
        <v>500000</v>
      </c>
      <c r="L3" s="2">
        <v>60000</v>
      </c>
    </row>
    <row r="4" spans="1:12" x14ac:dyDescent="0.35">
      <c r="A4" s="17" t="str">
        <f>Dataset_Rapi!A5</f>
        <v>P03</v>
      </c>
      <c r="B4" s="18">
        <f>Dataset_Rapi!B5</f>
        <v>3</v>
      </c>
      <c r="C4" s="19">
        <f>Dataset_Rapi!C5</f>
        <v>2</v>
      </c>
      <c r="D4" s="20">
        <f>Dataset_Rapi!D5</f>
        <v>100000</v>
      </c>
      <c r="E4" s="21">
        <f t="shared" si="0"/>
        <v>208804.21453600979</v>
      </c>
      <c r="F4" s="21">
        <f t="shared" si="1"/>
        <v>501595.45457769051</v>
      </c>
      <c r="G4" s="21">
        <f t="shared" si="2"/>
        <v>800247.96166438307</v>
      </c>
      <c r="H4" s="22">
        <f t="shared" si="3"/>
        <v>1</v>
      </c>
      <c r="J4" s="2">
        <v>15</v>
      </c>
      <c r="K4" s="2">
        <v>800000</v>
      </c>
      <c r="L4" s="2">
        <v>80000</v>
      </c>
    </row>
    <row r="5" spans="1:12" x14ac:dyDescent="0.35">
      <c r="A5" s="17" t="str">
        <f>Dataset_Rapi!A6</f>
        <v>P04</v>
      </c>
      <c r="B5" s="18">
        <f>Dataset_Rapi!B6</f>
        <v>4</v>
      </c>
      <c r="C5" s="19">
        <f>Dataset_Rapi!C6</f>
        <v>3</v>
      </c>
      <c r="D5" s="20">
        <f>Dataset_Rapi!D6</f>
        <v>135000</v>
      </c>
      <c r="E5" s="21">
        <f t="shared" si="0"/>
        <v>221413.18842833189</v>
      </c>
      <c r="F5" s="21">
        <f t="shared" si="1"/>
        <v>505590.74363065627</v>
      </c>
      <c r="G5" s="21">
        <f t="shared" si="2"/>
        <v>801885.40336509433</v>
      </c>
      <c r="H5" s="22">
        <f t="shared" si="3"/>
        <v>1</v>
      </c>
      <c r="J5" s="2"/>
      <c r="K5" s="2"/>
      <c r="L5" s="2"/>
    </row>
    <row r="6" spans="1:12" x14ac:dyDescent="0.35">
      <c r="A6" s="17" t="str">
        <f>Dataset_Rapi!A7</f>
        <v>P05</v>
      </c>
      <c r="B6" s="18">
        <f>Dataset_Rapi!B7</f>
        <v>5</v>
      </c>
      <c r="C6" s="19">
        <f>Dataset_Rapi!C7</f>
        <v>3</v>
      </c>
      <c r="D6" s="20">
        <f>Dataset_Rapi!D7</f>
        <v>150000</v>
      </c>
      <c r="E6" s="21">
        <f t="shared" si="0"/>
        <v>228251.61556711927</v>
      </c>
      <c r="F6" s="21">
        <f t="shared" si="1"/>
        <v>508032.47931013227</v>
      </c>
      <c r="G6" s="21">
        <f t="shared" si="2"/>
        <v>803053.67199770652</v>
      </c>
      <c r="H6" s="22">
        <f t="shared" si="3"/>
        <v>1</v>
      </c>
      <c r="J6" s="2" t="s">
        <v>64</v>
      </c>
      <c r="K6" s="2"/>
      <c r="L6" s="2"/>
    </row>
    <row r="7" spans="1:12" x14ac:dyDescent="0.35">
      <c r="A7" s="17" t="str">
        <f>Dataset_Rapi!A8</f>
        <v>P06</v>
      </c>
      <c r="B7" s="18">
        <f>Dataset_Rapi!B8</f>
        <v>6</v>
      </c>
      <c r="C7" s="19">
        <f>Dataset_Rapi!C8</f>
        <v>4</v>
      </c>
      <c r="D7" s="20">
        <f>Dataset_Rapi!D8</f>
        <v>180000</v>
      </c>
      <c r="E7" s="21">
        <f t="shared" si="0"/>
        <v>244127.83539981671</v>
      </c>
      <c r="F7" s="21">
        <f t="shared" si="1"/>
        <v>514194.5157544954</v>
      </c>
      <c r="G7" s="21">
        <f t="shared" si="2"/>
        <v>806221.80576873512</v>
      </c>
      <c r="H7" s="22">
        <f t="shared" si="3"/>
        <v>1</v>
      </c>
    </row>
    <row r="8" spans="1:12" x14ac:dyDescent="0.35">
      <c r="A8" s="17" t="str">
        <f>Dataset_Rapi!A9</f>
        <v>P07</v>
      </c>
      <c r="B8" s="18">
        <f>Dataset_Rapi!B9</f>
        <v>7</v>
      </c>
      <c r="C8" s="19">
        <f>Dataset_Rapi!C9</f>
        <v>4</v>
      </c>
      <c r="D8" s="20">
        <f>Dataset_Rapi!D9</f>
        <v>200000</v>
      </c>
      <c r="E8" s="21">
        <f t="shared" si="0"/>
        <v>256121.84604207429</v>
      </c>
      <c r="F8" s="21">
        <f t="shared" si="1"/>
        <v>519226.34758359479</v>
      </c>
      <c r="G8" s="21">
        <f t="shared" si="2"/>
        <v>808945.98094063113</v>
      </c>
      <c r="H8" s="22">
        <f t="shared" si="3"/>
        <v>1</v>
      </c>
    </row>
    <row r="9" spans="1:12" x14ac:dyDescent="0.35">
      <c r="A9" s="17" t="str">
        <f>Dataset_Rapi!A10</f>
        <v>P08</v>
      </c>
      <c r="B9" s="18">
        <f>Dataset_Rapi!B10</f>
        <v>8</v>
      </c>
      <c r="C9" s="19">
        <f>Dataset_Rapi!C10</f>
        <v>5</v>
      </c>
      <c r="D9" s="20">
        <f>Dataset_Rapi!D10</f>
        <v>225000</v>
      </c>
      <c r="E9" s="21">
        <f t="shared" si="0"/>
        <v>272438.98405698111</v>
      </c>
      <c r="F9" s="21">
        <f t="shared" si="1"/>
        <v>526516.85635789472</v>
      </c>
      <c r="G9" s="21">
        <f t="shared" si="2"/>
        <v>813029.51980478549</v>
      </c>
      <c r="H9" s="22">
        <f t="shared" si="3"/>
        <v>1</v>
      </c>
    </row>
    <row r="10" spans="1:12" x14ac:dyDescent="0.35">
      <c r="A10" s="17" t="str">
        <f>Dataset_Rapi!A11</f>
        <v>P09</v>
      </c>
      <c r="B10" s="18">
        <f>Dataset_Rapi!B11</f>
        <v>9</v>
      </c>
      <c r="C10" s="19">
        <f>Dataset_Rapi!C11</f>
        <v>5</v>
      </c>
      <c r="D10" s="20">
        <f>Dataset_Rapi!D11</f>
        <v>250000</v>
      </c>
      <c r="E10" s="21">
        <f t="shared" si="0"/>
        <v>289996.55177432712</v>
      </c>
      <c r="F10" s="21">
        <f t="shared" si="1"/>
        <v>534878.49089863396</v>
      </c>
      <c r="G10" s="21">
        <f t="shared" si="2"/>
        <v>817858.17845210794</v>
      </c>
      <c r="H10" s="22">
        <f t="shared" si="3"/>
        <v>1</v>
      </c>
    </row>
    <row r="11" spans="1:12" x14ac:dyDescent="0.35">
      <c r="A11" s="17" t="str">
        <f>Dataset_Rapi!A12</f>
        <v>P10</v>
      </c>
      <c r="B11" s="18">
        <f>Dataset_Rapi!B12</f>
        <v>10</v>
      </c>
      <c r="C11" s="19">
        <f>Dataset_Rapi!C12</f>
        <v>6</v>
      </c>
      <c r="D11" s="20">
        <f>Dataset_Rapi!D12</f>
        <v>300000</v>
      </c>
      <c r="E11" s="21">
        <f t="shared" si="0"/>
        <v>328020.73114515183</v>
      </c>
      <c r="F11" s="21">
        <f t="shared" si="1"/>
        <v>554611.57582221448</v>
      </c>
      <c r="G11" s="21">
        <f t="shared" si="2"/>
        <v>829692.95529189589</v>
      </c>
      <c r="H11" s="22">
        <f t="shared" si="3"/>
        <v>1</v>
      </c>
    </row>
    <row r="12" spans="1:12" x14ac:dyDescent="0.35">
      <c r="A12" s="17" t="str">
        <f>Dataset_Rapi!A13</f>
        <v>P11</v>
      </c>
      <c r="B12" s="18">
        <f>Dataset_Rapi!B13</f>
        <v>11</v>
      </c>
      <c r="C12" s="19">
        <f>Dataset_Rapi!C13</f>
        <v>6</v>
      </c>
      <c r="D12" s="20">
        <f>Dataset_Rapi!D13</f>
        <v>330000</v>
      </c>
      <c r="E12" s="21">
        <f t="shared" si="0"/>
        <v>352274.89276415942</v>
      </c>
      <c r="F12" s="21">
        <f t="shared" si="1"/>
        <v>568237.62638266047</v>
      </c>
      <c r="G12" s="21">
        <f t="shared" si="2"/>
        <v>838147.00384359783</v>
      </c>
      <c r="H12" s="22">
        <f t="shared" si="3"/>
        <v>1</v>
      </c>
    </row>
    <row r="13" spans="1:12" x14ac:dyDescent="0.35">
      <c r="A13" s="17" t="str">
        <f>Dataset_Rapi!A14</f>
        <v>P12</v>
      </c>
      <c r="B13" s="18">
        <f>Dataset_Rapi!B14</f>
        <v>12</v>
      </c>
      <c r="C13" s="19">
        <f>Dataset_Rapi!C14</f>
        <v>7</v>
      </c>
      <c r="D13" s="20">
        <f>Dataset_Rapi!D14</f>
        <v>385000</v>
      </c>
      <c r="E13" s="21">
        <f t="shared" si="0"/>
        <v>398775.8770261812</v>
      </c>
      <c r="F13" s="21">
        <f t="shared" si="1"/>
        <v>596337.15300407039</v>
      </c>
      <c r="G13" s="21">
        <f t="shared" si="2"/>
        <v>856162.25101203797</v>
      </c>
      <c r="H13" s="22">
        <f t="shared" si="3"/>
        <v>1</v>
      </c>
    </row>
    <row r="14" spans="1:12" x14ac:dyDescent="0.35">
      <c r="A14" s="17" t="str">
        <f>Dataset_Rapi!A15</f>
        <v>P13</v>
      </c>
      <c r="B14" s="18">
        <f>Dataset_Rapi!B15</f>
        <v>13</v>
      </c>
      <c r="C14" s="19">
        <f>Dataset_Rapi!C15</f>
        <v>8</v>
      </c>
      <c r="D14" s="20">
        <f>Dataset_Rapi!D15</f>
        <v>440000</v>
      </c>
      <c r="E14" s="21">
        <f t="shared" si="0"/>
        <v>447210.0179199925</v>
      </c>
      <c r="F14" s="21">
        <f t="shared" si="1"/>
        <v>628006.36945257173</v>
      </c>
      <c r="G14" s="21">
        <f t="shared" si="2"/>
        <v>877261.19261483348</v>
      </c>
      <c r="H14" s="22">
        <f t="shared" si="3"/>
        <v>1</v>
      </c>
    </row>
    <row r="15" spans="1:12" x14ac:dyDescent="0.35">
      <c r="A15" s="17" t="str">
        <f>Dataset_Rapi!A16</f>
        <v>P14</v>
      </c>
      <c r="B15" s="18">
        <f>Dataset_Rapi!B16</f>
        <v>14</v>
      </c>
      <c r="C15" s="19">
        <f>Dataset_Rapi!C16</f>
        <v>9</v>
      </c>
      <c r="D15" s="20">
        <f>Dataset_Rapi!D16</f>
        <v>495000</v>
      </c>
      <c r="E15" s="21">
        <f t="shared" si="0"/>
        <v>497012.47485551104</v>
      </c>
      <c r="F15" s="21">
        <f t="shared" si="1"/>
        <v>662733.73242728482</v>
      </c>
      <c r="G15" s="21">
        <f t="shared" si="2"/>
        <v>901227.27437755675</v>
      </c>
      <c r="H15" s="22">
        <f t="shared" si="3"/>
        <v>1</v>
      </c>
    </row>
    <row r="16" spans="1:12" x14ac:dyDescent="0.35">
      <c r="A16" s="17" t="str">
        <f>Dataset_Rapi!A17</f>
        <v>P15</v>
      </c>
      <c r="B16" s="18">
        <f>Dataset_Rapi!B17</f>
        <v>15</v>
      </c>
      <c r="C16" s="19">
        <f>Dataset_Rapi!C17</f>
        <v>10</v>
      </c>
      <c r="D16" s="20">
        <f>Dataset_Rapi!D17</f>
        <v>550000</v>
      </c>
      <c r="E16" s="21">
        <f t="shared" si="0"/>
        <v>547810.18628718471</v>
      </c>
      <c r="F16" s="21">
        <f t="shared" si="1"/>
        <v>700064.28285193921</v>
      </c>
      <c r="G16" s="21">
        <f t="shared" si="2"/>
        <v>927838.34804345097</v>
      </c>
      <c r="H16" s="22">
        <f t="shared" si="3"/>
        <v>1</v>
      </c>
    </row>
    <row r="17" spans="1:8" x14ac:dyDescent="0.35">
      <c r="A17" s="17" t="str">
        <f>Dataset_Rapi!A18</f>
        <v>P16</v>
      </c>
      <c r="B17" s="18">
        <f>Dataset_Rapi!B18</f>
        <v>16</v>
      </c>
      <c r="C17" s="19">
        <f>Dataset_Rapi!C18</f>
        <v>11</v>
      </c>
      <c r="D17" s="20">
        <f>Dataset_Rapi!D18</f>
        <v>605000</v>
      </c>
      <c r="E17" s="21">
        <f t="shared" si="0"/>
        <v>599350.1482789506</v>
      </c>
      <c r="F17" s="21">
        <f t="shared" si="1"/>
        <v>739603.94817564357</v>
      </c>
      <c r="G17" s="21">
        <f t="shared" si="2"/>
        <v>956873.76394276798</v>
      </c>
      <c r="H17" s="22">
        <f t="shared" si="3"/>
        <v>1</v>
      </c>
    </row>
    <row r="18" spans="1:8" x14ac:dyDescent="0.35">
      <c r="A18" s="17" t="str">
        <f>Dataset_Rapi!A19</f>
        <v>P17</v>
      </c>
      <c r="B18" s="18">
        <f>Dataset_Rapi!B19</f>
        <v>17</v>
      </c>
      <c r="C18" s="19">
        <f>Dataset_Rapi!C19</f>
        <v>12</v>
      </c>
      <c r="D18" s="20">
        <f>Dataset_Rapi!D19</f>
        <v>660000</v>
      </c>
      <c r="E18" s="21">
        <f t="shared" si="0"/>
        <v>651456.21517336066</v>
      </c>
      <c r="F18" s="21">
        <f t="shared" si="1"/>
        <v>781017.28546364454</v>
      </c>
      <c r="G18" s="21">
        <f t="shared" si="2"/>
        <v>988119.83086465788</v>
      </c>
      <c r="H18" s="22">
        <f t="shared" si="3"/>
        <v>1</v>
      </c>
    </row>
    <row r="19" spans="1:8" x14ac:dyDescent="0.35">
      <c r="A19" s="17" t="str">
        <f>Dataset_Rapi!A20</f>
        <v>P18</v>
      </c>
      <c r="B19" s="18">
        <f>Dataset_Rapi!B20</f>
        <v>18</v>
      </c>
      <c r="C19" s="19">
        <f>Dataset_Rapi!C20</f>
        <v>13</v>
      </c>
      <c r="D19" s="20">
        <f>Dataset_Rapi!D20</f>
        <v>715000</v>
      </c>
      <c r="E19" s="21">
        <f t="shared" si="0"/>
        <v>704002.69909851905</v>
      </c>
      <c r="F19" s="21">
        <f t="shared" si="1"/>
        <v>824021.84451202501</v>
      </c>
      <c r="G19" s="21">
        <f t="shared" si="2"/>
        <v>1021373.6829280456</v>
      </c>
      <c r="H19" s="22">
        <f t="shared" si="3"/>
        <v>1</v>
      </c>
    </row>
    <row r="20" spans="1:8" x14ac:dyDescent="0.35">
      <c r="A20" s="17" t="str">
        <f>Dataset_Rapi!A21</f>
        <v>P19</v>
      </c>
      <c r="B20" s="18">
        <f>Dataset_Rapi!B21</f>
        <v>19</v>
      </c>
      <c r="C20" s="19">
        <f>Dataset_Rapi!C21</f>
        <v>14</v>
      </c>
      <c r="D20" s="20">
        <f>Dataset_Rapi!D21</f>
        <v>770000</v>
      </c>
      <c r="E20" s="21">
        <f t="shared" si="0"/>
        <v>756897.87976450298</v>
      </c>
      <c r="F20" s="21">
        <f t="shared" si="1"/>
        <v>868381.25283598795</v>
      </c>
      <c r="G20" s="21">
        <f t="shared" si="2"/>
        <v>1056445.7393600487</v>
      </c>
      <c r="H20" s="22">
        <f t="shared" si="3"/>
        <v>1</v>
      </c>
    </row>
    <row r="21" spans="1:8" x14ac:dyDescent="0.35">
      <c r="A21" s="17" t="str">
        <f>Dataset_Rapi!A22</f>
        <v>P20</v>
      </c>
      <c r="B21" s="18">
        <f>Dataset_Rapi!B22</f>
        <v>20</v>
      </c>
      <c r="C21" s="19">
        <f>Dataset_Rapi!C22</f>
        <v>15</v>
      </c>
      <c r="D21" s="20">
        <f>Dataset_Rapi!D22</f>
        <v>825000</v>
      </c>
      <c r="E21" s="21">
        <f t="shared" si="0"/>
        <v>810073.45373737556</v>
      </c>
      <c r="F21" s="21">
        <f t="shared" si="1"/>
        <v>913898.2439664714</v>
      </c>
      <c r="G21" s="21">
        <f t="shared" si="2"/>
        <v>1093161.0129573776</v>
      </c>
      <c r="H21" s="22">
        <f t="shared" si="3"/>
        <v>1</v>
      </c>
    </row>
    <row r="22" spans="1:8" x14ac:dyDescent="0.35">
      <c r="A22" s="17" t="str">
        <f>Dataset_Rapi!A23</f>
        <v>P21</v>
      </c>
      <c r="B22" s="18">
        <f>Dataset_Rapi!B23</f>
        <v>21</v>
      </c>
      <c r="C22" s="19">
        <f>Dataset_Rapi!C23</f>
        <v>16</v>
      </c>
      <c r="D22" s="20">
        <f>Dataset_Rapi!D23</f>
        <v>880000</v>
      </c>
      <c r="E22" s="21">
        <f t="shared" si="0"/>
        <v>863477.62015700212</v>
      </c>
      <c r="F22" s="21">
        <f t="shared" si="1"/>
        <v>960408.24672479776</v>
      </c>
      <c r="G22" s="21">
        <f t="shared" si="2"/>
        <v>1131359.5362624563</v>
      </c>
      <c r="H22" s="22">
        <f t="shared" si="3"/>
        <v>1</v>
      </c>
    </row>
    <row r="23" spans="1:8" x14ac:dyDescent="0.35">
      <c r="A23" s="17" t="str">
        <f>Dataset_Rapi!A24</f>
        <v>P22</v>
      </c>
      <c r="B23" s="18">
        <f>Dataset_Rapi!B24</f>
        <v>22</v>
      </c>
      <c r="C23" s="19">
        <f>Dataset_Rapi!C24</f>
        <v>17</v>
      </c>
      <c r="D23" s="20">
        <f>Dataset_Rapi!D24</f>
        <v>935000</v>
      </c>
      <c r="E23" s="21">
        <f t="shared" si="0"/>
        <v>917070.44471948827</v>
      </c>
      <c r="F23" s="21">
        <f t="shared" si="1"/>
        <v>1007773.7843549018</v>
      </c>
      <c r="G23" s="21">
        <f t="shared" si="2"/>
        <v>1170896.1526702528</v>
      </c>
      <c r="H23" s="22">
        <f t="shared" si="3"/>
        <v>1</v>
      </c>
    </row>
    <row r="24" spans="1:8" x14ac:dyDescent="0.35">
      <c r="A24" s="17" t="str">
        <f>Dataset_Rapi!A25</f>
        <v>P23</v>
      </c>
      <c r="B24" s="18">
        <f>Dataset_Rapi!B25</f>
        <v>23</v>
      </c>
      <c r="C24" s="19">
        <f>Dataset_Rapi!C25</f>
        <v>18</v>
      </c>
      <c r="D24" s="20">
        <f>Dataset_Rapi!D25</f>
        <v>990000</v>
      </c>
      <c r="E24" s="21">
        <f t="shared" si="0"/>
        <v>970820.68408537738</v>
      </c>
      <c r="F24" s="21">
        <f t="shared" si="1"/>
        <v>1055879.7282328135</v>
      </c>
      <c r="G24" s="21">
        <f t="shared" si="2"/>
        <v>1211639.8806526633</v>
      </c>
      <c r="H24" s="22">
        <f t="shared" si="3"/>
        <v>1</v>
      </c>
    </row>
    <row r="25" spans="1:8" x14ac:dyDescent="0.35">
      <c r="A25" s="17" t="str">
        <f>Dataset_Rapi!A26</f>
        <v>P24</v>
      </c>
      <c r="B25" s="18">
        <f>Dataset_Rapi!B26</f>
        <v>24</v>
      </c>
      <c r="C25" s="19">
        <f>Dataset_Rapi!C26</f>
        <v>19</v>
      </c>
      <c r="D25" s="20">
        <f>Dataset_Rapi!D26</f>
        <v>1045000</v>
      </c>
      <c r="E25" s="21">
        <f t="shared" si="0"/>
        <v>1024703.5672437176</v>
      </c>
      <c r="F25" s="21">
        <f t="shared" si="1"/>
        <v>1104629.3498531533</v>
      </c>
      <c r="G25" s="21">
        <f t="shared" si="2"/>
        <v>1253473.015442295</v>
      </c>
      <c r="H25" s="22">
        <f t="shared" si="3"/>
        <v>1</v>
      </c>
    </row>
    <row r="26" spans="1:8" x14ac:dyDescent="0.35">
      <c r="A26" s="17" t="str">
        <f>Dataset_Rapi!A27</f>
        <v>P25</v>
      </c>
      <c r="B26" s="18">
        <f>Dataset_Rapi!B27</f>
        <v>25</v>
      </c>
      <c r="C26" s="19">
        <f>Dataset_Rapi!C27</f>
        <v>20</v>
      </c>
      <c r="D26" s="20">
        <f>Dataset_Rapi!D27</f>
        <v>1100000</v>
      </c>
      <c r="E26" s="21">
        <f t="shared" si="0"/>
        <v>1078699.2170202034</v>
      </c>
      <c r="F26" s="21">
        <f t="shared" si="1"/>
        <v>1153941.0732897066</v>
      </c>
      <c r="G26" s="21">
        <f t="shared" si="2"/>
        <v>1296290.0911832969</v>
      </c>
      <c r="H26" s="22">
        <f t="shared" si="3"/>
        <v>1</v>
      </c>
    </row>
    <row r="27" spans="1:8" x14ac:dyDescent="0.35">
      <c r="A27" s="17" t="str">
        <f>Dataset_Rapi!A28</f>
        <v>P26</v>
      </c>
      <c r="B27" s="18">
        <f>Dataset_Rapi!B28</f>
        <v>26</v>
      </c>
      <c r="C27" s="19">
        <f>Dataset_Rapi!C28</f>
        <v>22</v>
      </c>
      <c r="D27" s="20">
        <f>Dataset_Rapi!D28</f>
        <v>1210000</v>
      </c>
      <c r="E27" s="21">
        <f t="shared" si="0"/>
        <v>1186967.2282438972</v>
      </c>
      <c r="F27" s="21">
        <f t="shared" si="1"/>
        <v>1253984.8486883724</v>
      </c>
      <c r="G27" s="21">
        <f t="shared" si="2"/>
        <v>1384508.8662067137</v>
      </c>
      <c r="H27" s="22">
        <f t="shared" si="3"/>
        <v>1</v>
      </c>
    </row>
    <row r="28" spans="1:8" x14ac:dyDescent="0.35">
      <c r="A28" s="17" t="str">
        <f>Dataset_Rapi!A29</f>
        <v>P27</v>
      </c>
      <c r="B28" s="18">
        <f>Dataset_Rapi!B29</f>
        <v>27</v>
      </c>
      <c r="C28" s="19">
        <f>Dataset_Rapi!C29</f>
        <v>24</v>
      </c>
      <c r="D28" s="20">
        <f>Dataset_Rapi!D29</f>
        <v>1320000</v>
      </c>
      <c r="E28" s="21">
        <f t="shared" si="0"/>
        <v>1295527.074614807</v>
      </c>
      <c r="F28" s="21">
        <f t="shared" si="1"/>
        <v>1355572.2042241055</v>
      </c>
      <c r="G28" s="21">
        <f t="shared" si="2"/>
        <v>1475656.328797461</v>
      </c>
      <c r="H28" s="22">
        <f t="shared" si="3"/>
        <v>1</v>
      </c>
    </row>
    <row r="29" spans="1:8" x14ac:dyDescent="0.35">
      <c r="A29" s="17" t="str">
        <f>Dataset_Rapi!A30</f>
        <v>P28</v>
      </c>
      <c r="B29" s="18">
        <f>Dataset_Rapi!B30</f>
        <v>28</v>
      </c>
      <c r="C29" s="19">
        <f>Dataset_Rapi!C30</f>
        <v>26</v>
      </c>
      <c r="D29" s="20">
        <f>Dataset_Rapi!D30</f>
        <v>1430000</v>
      </c>
      <c r="E29" s="21">
        <f t="shared" si="0"/>
        <v>1404311.077078366</v>
      </c>
      <c r="F29" s="21">
        <f t="shared" si="1"/>
        <v>1458380.6091003816</v>
      </c>
      <c r="G29" s="21">
        <f t="shared" si="2"/>
        <v>1569222.227998635</v>
      </c>
      <c r="H29" s="22">
        <f t="shared" si="3"/>
        <v>1</v>
      </c>
    </row>
    <row r="30" spans="1:8" x14ac:dyDescent="0.35">
      <c r="A30" s="17" t="str">
        <f>Dataset_Rapi!A31</f>
        <v>P29</v>
      </c>
      <c r="B30" s="18">
        <f>Dataset_Rapi!B31</f>
        <v>29</v>
      </c>
      <c r="C30" s="19">
        <f>Dataset_Rapi!C31</f>
        <v>28</v>
      </c>
      <c r="D30" s="20">
        <f>Dataset_Rapi!D31</f>
        <v>1540000</v>
      </c>
      <c r="E30" s="21">
        <f t="shared" si="0"/>
        <v>1513270.8949028261</v>
      </c>
      <c r="F30" s="21">
        <f t="shared" si="1"/>
        <v>1562169.0053080043</v>
      </c>
      <c r="G30" s="21">
        <f t="shared" si="2"/>
        <v>1664798.8470022436</v>
      </c>
      <c r="H30" s="22">
        <f t="shared" si="3"/>
        <v>1</v>
      </c>
    </row>
    <row r="31" spans="1:8" x14ac:dyDescent="0.35">
      <c r="A31" s="17" t="str">
        <f>Dataset_Rapi!A32</f>
        <v>P30</v>
      </c>
      <c r="B31" s="18">
        <f>Dataset_Rapi!B32</f>
        <v>30</v>
      </c>
      <c r="C31" s="19">
        <f>Dataset_Rapi!C32</f>
        <v>30</v>
      </c>
      <c r="D31" s="20">
        <f>Dataset_Rapi!D32</f>
        <v>1650000</v>
      </c>
      <c r="E31" s="21">
        <f t="shared" si="0"/>
        <v>1622371.1047491569</v>
      </c>
      <c r="F31" s="21">
        <f t="shared" si="1"/>
        <v>1666754.3314178009</v>
      </c>
      <c r="G31" s="21">
        <f t="shared" si="2"/>
        <v>1762059.0231672151</v>
      </c>
      <c r="H31" s="22">
        <f t="shared" si="3"/>
        <v>1</v>
      </c>
    </row>
    <row r="32" spans="1:8" x14ac:dyDescent="0.35">
      <c r="A32" s="17" t="str">
        <f>Dataset_Rapi!A33</f>
        <v>P31</v>
      </c>
      <c r="B32" s="18">
        <f>Dataset_Rapi!B33</f>
        <v>31</v>
      </c>
      <c r="C32" s="19">
        <f>Dataset_Rapi!C33</f>
        <v>32</v>
      </c>
      <c r="D32" s="20">
        <f>Dataset_Rapi!D33</f>
        <v>1760000</v>
      </c>
      <c r="E32" s="21">
        <f t="shared" si="0"/>
        <v>1731585.1702125426</v>
      </c>
      <c r="F32" s="21">
        <f t="shared" si="1"/>
        <v>1771995.4857349384</v>
      </c>
      <c r="G32" s="21">
        <f t="shared" si="2"/>
        <v>1860738.7783565968</v>
      </c>
      <c r="H32" s="22">
        <f t="shared" si="3"/>
        <v>1</v>
      </c>
    </row>
    <row r="33" spans="1:8" x14ac:dyDescent="0.35">
      <c r="A33" s="17" t="str">
        <f>Dataset_Rapi!A34</f>
        <v>P32</v>
      </c>
      <c r="B33" s="18">
        <f>Dataset_Rapi!B34</f>
        <v>32</v>
      </c>
      <c r="C33" s="19">
        <f>Dataset_Rapi!C34</f>
        <v>34</v>
      </c>
      <c r="D33" s="20">
        <f>Dataset_Rapi!D34</f>
        <v>1870000</v>
      </c>
      <c r="E33" s="21">
        <f t="shared" si="0"/>
        <v>1840892.8273761622</v>
      </c>
      <c r="F33" s="21">
        <f t="shared" si="1"/>
        <v>1877782.2029298285</v>
      </c>
      <c r="G33" s="21">
        <f t="shared" si="2"/>
        <v>1960623.7786594857</v>
      </c>
      <c r="H33" s="22">
        <f t="shared" si="3"/>
        <v>1</v>
      </c>
    </row>
    <row r="34" spans="1:8" x14ac:dyDescent="0.35">
      <c r="A34" s="17" t="str">
        <f>Dataset_Rapi!A35</f>
        <v>P33</v>
      </c>
      <c r="B34" s="18">
        <f>Dataset_Rapi!B35</f>
        <v>33</v>
      </c>
      <c r="C34" s="19">
        <f>Dataset_Rapi!C35</f>
        <v>36</v>
      </c>
      <c r="D34" s="20">
        <f>Dataset_Rapi!D35</f>
        <v>1980000</v>
      </c>
      <c r="E34" s="21">
        <f t="shared" ref="E34:E65" si="4">SQRT((B34-$J$2)^2+(C34-$K$2)^2+(D34-$L$2)^2)</f>
        <v>1950278.3396428316</v>
      </c>
      <c r="F34" s="21">
        <f t="shared" ref="F34:F51" si="5">SQRT((B34-$J$3)^2+(C34-$K$3)^2+(D34-$L$3)^2)</f>
        <v>1984027.2180151662</v>
      </c>
      <c r="G34" s="21">
        <f t="shared" ref="G34:G51" si="6">SQRT((B34-$J$4)^2+(C34-$K$4)^2+(D34-$L$4)^2)</f>
        <v>2061538.8431024044</v>
      </c>
      <c r="H34" s="22">
        <f t="shared" ref="H34:H65" si="7">MATCH(MIN(E34:G34),E34:G34,0)</f>
        <v>1</v>
      </c>
    </row>
    <row r="35" spans="1:8" x14ac:dyDescent="0.35">
      <c r="A35" s="17" t="str">
        <f>Dataset_Rapi!A36</f>
        <v>P34</v>
      </c>
      <c r="B35" s="18">
        <f>Dataset_Rapi!B36</f>
        <v>34</v>
      </c>
      <c r="C35" s="19">
        <f>Dataset_Rapi!C36</f>
        <v>38</v>
      </c>
      <c r="D35" s="20">
        <f>Dataset_Rapi!D36</f>
        <v>2090000</v>
      </c>
      <c r="E35" s="21">
        <f t="shared" si="4"/>
        <v>2059729.3031573349</v>
      </c>
      <c r="F35" s="21">
        <f t="shared" si="5"/>
        <v>2090660.6616139312</v>
      </c>
      <c r="G35" s="21">
        <f t="shared" si="6"/>
        <v>2163339.8257798059</v>
      </c>
      <c r="H35" s="22">
        <f t="shared" si="7"/>
        <v>1</v>
      </c>
    </row>
    <row r="36" spans="1:8" x14ac:dyDescent="0.35">
      <c r="A36" s="17" t="str">
        <f>Dataset_Rapi!A37</f>
        <v>P35</v>
      </c>
      <c r="B36" s="18">
        <f>Dataset_Rapi!B37</f>
        <v>35</v>
      </c>
      <c r="C36" s="19">
        <f>Dataset_Rapi!C37</f>
        <v>40</v>
      </c>
      <c r="D36" s="20">
        <f>Dataset_Rapi!D37</f>
        <v>2200000</v>
      </c>
      <c r="E36" s="21">
        <f t="shared" si="4"/>
        <v>2169235.8107176824</v>
      </c>
      <c r="F36" s="21">
        <f t="shared" si="5"/>
        <v>2197625.9923437838</v>
      </c>
      <c r="G36" s="21">
        <f t="shared" si="6"/>
        <v>2265907.3242301857</v>
      </c>
      <c r="H36" s="22">
        <f t="shared" si="7"/>
        <v>1</v>
      </c>
    </row>
    <row r="37" spans="1:8" x14ac:dyDescent="0.35">
      <c r="A37" s="17" t="str">
        <f>Dataset_Rapi!A38</f>
        <v>P36</v>
      </c>
      <c r="B37" s="18">
        <f>Dataset_Rapi!B38</f>
        <v>36</v>
      </c>
      <c r="C37" s="19">
        <f>Dataset_Rapi!C38</f>
        <v>42</v>
      </c>
      <c r="D37" s="20">
        <f>Dataset_Rapi!D38</f>
        <v>2310000</v>
      </c>
      <c r="E37" s="21">
        <f t="shared" si="4"/>
        <v>2278789.8548846054</v>
      </c>
      <c r="F37" s="21">
        <f t="shared" si="5"/>
        <v>2304877.003755298</v>
      </c>
      <c r="G37" s="21">
        <f t="shared" si="6"/>
        <v>2369141.7860071189</v>
      </c>
      <c r="H37" s="22">
        <f t="shared" si="7"/>
        <v>1</v>
      </c>
    </row>
    <row r="38" spans="1:8" x14ac:dyDescent="0.35">
      <c r="A38" s="17" t="str">
        <f>Dataset_Rapi!A39</f>
        <v>P37</v>
      </c>
      <c r="B38" s="18">
        <f>Dataset_Rapi!B39</f>
        <v>37</v>
      </c>
      <c r="C38" s="19">
        <f>Dataset_Rapi!C39</f>
        <v>44</v>
      </c>
      <c r="D38" s="20">
        <f>Dataset_Rapi!D39</f>
        <v>2420000</v>
      </c>
      <c r="E38" s="21">
        <f t="shared" si="4"/>
        <v>2388384.8942245468</v>
      </c>
      <c r="F38" s="21">
        <f t="shared" si="5"/>
        <v>2412375.5931995749</v>
      </c>
      <c r="G38" s="21">
        <f t="shared" si="6"/>
        <v>2472959.6847542822</v>
      </c>
      <c r="H38" s="22">
        <f t="shared" si="7"/>
        <v>1</v>
      </c>
    </row>
    <row r="39" spans="1:8" x14ac:dyDescent="0.35">
      <c r="A39" s="17" t="str">
        <f>Dataset_Rapi!A40</f>
        <v>P38</v>
      </c>
      <c r="B39" s="18">
        <f>Dataset_Rapi!B40</f>
        <v>38</v>
      </c>
      <c r="C39" s="19">
        <f>Dataset_Rapi!C40</f>
        <v>46</v>
      </c>
      <c r="D39" s="20">
        <f>Dataset_Rapi!D40</f>
        <v>2530000</v>
      </c>
      <c r="E39" s="21">
        <f t="shared" si="4"/>
        <v>2498015.5330191604</v>
      </c>
      <c r="F39" s="21">
        <f t="shared" si="5"/>
        <v>2520090.0783305345</v>
      </c>
      <c r="G39" s="21">
        <f t="shared" si="6"/>
        <v>2577290.5157635994</v>
      </c>
      <c r="H39" s="22">
        <f t="shared" si="7"/>
        <v>1</v>
      </c>
    </row>
    <row r="40" spans="1:8" x14ac:dyDescent="0.35">
      <c r="A40" s="17" t="str">
        <f>Dataset_Rapi!A41</f>
        <v>P39</v>
      </c>
      <c r="B40" s="18">
        <f>Dataset_Rapi!B41</f>
        <v>39</v>
      </c>
      <c r="C40" s="19">
        <f>Dataset_Rapi!C41</f>
        <v>48</v>
      </c>
      <c r="D40" s="20">
        <f>Dataset_Rapi!D41</f>
        <v>2640000</v>
      </c>
      <c r="E40" s="21">
        <f t="shared" si="4"/>
        <v>2607677.2813099399</v>
      </c>
      <c r="F40" s="21">
        <f t="shared" si="5"/>
        <v>2627993.9123112517</v>
      </c>
      <c r="G40" s="21">
        <f t="shared" si="6"/>
        <v>2682074.4215774476</v>
      </c>
      <c r="H40" s="22">
        <f t="shared" si="7"/>
        <v>1</v>
      </c>
    </row>
    <row r="41" spans="1:8" x14ac:dyDescent="0.35">
      <c r="A41" s="17" t="str">
        <f>Dataset_Rapi!A42</f>
        <v>P40</v>
      </c>
      <c r="B41" s="18">
        <f>Dataset_Rapi!B42</f>
        <v>40</v>
      </c>
      <c r="C41" s="19">
        <f>Dataset_Rapi!C42</f>
        <v>50</v>
      </c>
      <c r="D41" s="20">
        <f>Dataset_Rapi!D42</f>
        <v>2750000</v>
      </c>
      <c r="E41" s="21">
        <f t="shared" si="4"/>
        <v>2717366.3727449416</v>
      </c>
      <c r="F41" s="21">
        <f t="shared" si="5"/>
        <v>2736064.6928389687</v>
      </c>
      <c r="G41" s="21">
        <f t="shared" si="6"/>
        <v>2787260.3041562159</v>
      </c>
      <c r="H41" s="22">
        <f t="shared" si="7"/>
        <v>1</v>
      </c>
    </row>
    <row r="42" spans="1:8" x14ac:dyDescent="0.35">
      <c r="A42" s="17" t="str">
        <f>Dataset_Rapi!A43</f>
        <v>P41</v>
      </c>
      <c r="B42" s="18">
        <f>Dataset_Rapi!B43</f>
        <v>41</v>
      </c>
      <c r="C42" s="19">
        <f>Dataset_Rapi!C43</f>
        <v>52</v>
      </c>
      <c r="D42" s="20">
        <f>Dataset_Rapi!D43</f>
        <v>2860000</v>
      </c>
      <c r="E42" s="21">
        <f t="shared" si="4"/>
        <v>2827079.6246303357</v>
      </c>
      <c r="F42" s="21">
        <f t="shared" si="5"/>
        <v>2844283.3901819629</v>
      </c>
      <c r="G42" s="21">
        <f t="shared" si="6"/>
        <v>2892804.3147402834</v>
      </c>
      <c r="H42" s="22">
        <f t="shared" si="7"/>
        <v>1</v>
      </c>
    </row>
    <row r="43" spans="1:8" x14ac:dyDescent="0.35">
      <c r="A43" s="17" t="str">
        <f>Dataset_Rapi!A44</f>
        <v>P42</v>
      </c>
      <c r="B43" s="18">
        <f>Dataset_Rapi!B44</f>
        <v>42</v>
      </c>
      <c r="C43" s="19">
        <f>Dataset_Rapi!C44</f>
        <v>54</v>
      </c>
      <c r="D43" s="20">
        <f>Dataset_Rapi!D44</f>
        <v>2970000</v>
      </c>
      <c r="E43" s="21">
        <f t="shared" si="4"/>
        <v>2936814.3292154172</v>
      </c>
      <c r="F43" s="21">
        <f t="shared" si="5"/>
        <v>2952633.7402292211</v>
      </c>
      <c r="G43" s="21">
        <f t="shared" si="6"/>
        <v>2998668.6385202683</v>
      </c>
      <c r="H43" s="22">
        <f t="shared" si="7"/>
        <v>1</v>
      </c>
    </row>
    <row r="44" spans="1:8" x14ac:dyDescent="0.35">
      <c r="A44" s="17" t="str">
        <f>Dataset_Rapi!A45</f>
        <v>P43</v>
      </c>
      <c r="B44" s="18">
        <f>Dataset_Rapi!B45</f>
        <v>43</v>
      </c>
      <c r="C44" s="19">
        <f>Dataset_Rapi!C45</f>
        <v>56</v>
      </c>
      <c r="D44" s="20">
        <f>Dataset_Rapi!D45</f>
        <v>3080000</v>
      </c>
      <c r="E44" s="21">
        <f t="shared" si="4"/>
        <v>3046568.1683789715</v>
      </c>
      <c r="F44" s="21">
        <f t="shared" si="5"/>
        <v>3061101.7631279426</v>
      </c>
      <c r="G44" s="21">
        <f t="shared" si="6"/>
        <v>3104820.5107413214</v>
      </c>
      <c r="H44" s="22">
        <f t="shared" si="7"/>
        <v>1</v>
      </c>
    </row>
    <row r="45" spans="1:8" x14ac:dyDescent="0.35">
      <c r="A45" s="17" t="str">
        <f>Dataset_Rapi!A46</f>
        <v>P44</v>
      </c>
      <c r="B45" s="18">
        <f>Dataset_Rapi!B46</f>
        <v>44</v>
      </c>
      <c r="C45" s="19">
        <f>Dataset_Rapi!C46</f>
        <v>58</v>
      </c>
      <c r="D45" s="20">
        <f>Dataset_Rapi!D46</f>
        <v>3190000</v>
      </c>
      <c r="E45" s="21">
        <f t="shared" si="4"/>
        <v>3156339.1460495815</v>
      </c>
      <c r="F45" s="21">
        <f t="shared" si="5"/>
        <v>3169675.3784133792</v>
      </c>
      <c r="G45" s="21">
        <f t="shared" si="6"/>
        <v>3211231.4155484028</v>
      </c>
      <c r="H45" s="22">
        <f t="shared" si="7"/>
        <v>1</v>
      </c>
    </row>
    <row r="46" spans="1:8" x14ac:dyDescent="0.35">
      <c r="A46" s="17" t="str">
        <f>Dataset_Rapi!A47</f>
        <v>P45</v>
      </c>
      <c r="B46" s="18">
        <f>Dataset_Rapi!B47</f>
        <v>45</v>
      </c>
      <c r="C46" s="19">
        <f>Dataset_Rapi!C47</f>
        <v>60</v>
      </c>
      <c r="D46" s="20">
        <f>Dataset_Rapi!D47</f>
        <v>3300000</v>
      </c>
      <c r="E46" s="21">
        <f t="shared" si="4"/>
        <v>3266125.5342071592</v>
      </c>
      <c r="F46" s="21">
        <f t="shared" si="5"/>
        <v>3278344.0949395476</v>
      </c>
      <c r="G46" s="21">
        <f t="shared" si="6"/>
        <v>3317876.4299623938</v>
      </c>
      <c r="H46" s="22">
        <f t="shared" si="7"/>
        <v>1</v>
      </c>
    </row>
    <row r="47" spans="1:8" x14ac:dyDescent="0.35">
      <c r="A47" s="17" t="str">
        <f>Dataset_Rapi!A48</f>
        <v>P46</v>
      </c>
      <c r="B47" s="18">
        <f>Dataset_Rapi!B48</f>
        <v>46</v>
      </c>
      <c r="C47" s="19">
        <f>Dataset_Rapi!C48</f>
        <v>62</v>
      </c>
      <c r="D47" s="20">
        <f>Dataset_Rapi!D48</f>
        <v>3410000</v>
      </c>
      <c r="E47" s="21">
        <f t="shared" si="4"/>
        <v>3375925.8293873994</v>
      </c>
      <c r="F47" s="21">
        <f t="shared" si="5"/>
        <v>3387098.7592835259</v>
      </c>
      <c r="G47" s="21">
        <f t="shared" si="6"/>
        <v>3424733.6837781998</v>
      </c>
      <c r="H47" s="22">
        <f t="shared" si="7"/>
        <v>1</v>
      </c>
    </row>
    <row r="48" spans="1:8" x14ac:dyDescent="0.35">
      <c r="A48" s="17" t="str">
        <f>Dataset_Rapi!A49</f>
        <v>P47</v>
      </c>
      <c r="B48" s="18">
        <f>Dataset_Rapi!B49</f>
        <v>47</v>
      </c>
      <c r="C48" s="19">
        <f>Dataset_Rapi!C49</f>
        <v>64</v>
      </c>
      <c r="D48" s="20">
        <f>Dataset_Rapi!D49</f>
        <v>3520000</v>
      </c>
      <c r="E48" s="21">
        <f t="shared" si="4"/>
        <v>3485738.7173825866</v>
      </c>
      <c r="F48" s="21">
        <f t="shared" si="5"/>
        <v>3495931.3502219976</v>
      </c>
      <c r="G48" s="21">
        <f t="shared" si="6"/>
        <v>3531783.9125744938</v>
      </c>
      <c r="H48" s="22">
        <f t="shared" si="7"/>
        <v>1</v>
      </c>
    </row>
    <row r="49" spans="1:8" x14ac:dyDescent="0.35">
      <c r="A49" s="17" t="str">
        <f>Dataset_Rapi!A50</f>
        <v>P48</v>
      </c>
      <c r="B49" s="18">
        <f>Dataset_Rapi!B50</f>
        <v>48</v>
      </c>
      <c r="C49" s="19">
        <f>Dataset_Rapi!C50</f>
        <v>66</v>
      </c>
      <c r="D49" s="20">
        <f>Dataset_Rapi!D50</f>
        <v>3630000</v>
      </c>
      <c r="E49" s="21">
        <f t="shared" si="4"/>
        <v>3595563.0443930477</v>
      </c>
      <c r="F49" s="21">
        <f t="shared" si="5"/>
        <v>3604834.8097797767</v>
      </c>
      <c r="G49" s="21">
        <f t="shared" si="6"/>
        <v>3639010.0859224065</v>
      </c>
      <c r="H49" s="22">
        <f t="shared" si="7"/>
        <v>1</v>
      </c>
    </row>
    <row r="50" spans="1:8" x14ac:dyDescent="0.35">
      <c r="A50" s="17" t="str">
        <f>Dataset_Rapi!A51</f>
        <v>P49</v>
      </c>
      <c r="B50" s="18">
        <f>Dataset_Rapi!B51</f>
        <v>49</v>
      </c>
      <c r="C50" s="19">
        <f>Dataset_Rapi!C51</f>
        <v>68</v>
      </c>
      <c r="D50" s="20">
        <f>Dataset_Rapi!D51</f>
        <v>3740000</v>
      </c>
      <c r="E50" s="21">
        <f t="shared" si="4"/>
        <v>3705397.793295613</v>
      </c>
      <c r="F50" s="21">
        <f t="shared" si="5"/>
        <v>3713802.903513459</v>
      </c>
      <c r="G50" s="21">
        <f t="shared" si="6"/>
        <v>3746397.0966489925</v>
      </c>
      <c r="H50" s="22">
        <f t="shared" si="7"/>
        <v>1</v>
      </c>
    </row>
    <row r="51" spans="1:8" x14ac:dyDescent="0.35">
      <c r="A51" s="17" t="str">
        <f>Dataset_Rapi!A52</f>
        <v>P50</v>
      </c>
      <c r="B51" s="18">
        <f>Dataset_Rapi!B52</f>
        <v>50</v>
      </c>
      <c r="C51" s="19">
        <f>Dataset_Rapi!C52</f>
        <v>70</v>
      </c>
      <c r="D51" s="20">
        <f>Dataset_Rapi!D52</f>
        <v>3850000</v>
      </c>
      <c r="E51" s="21">
        <f t="shared" si="4"/>
        <v>3815242.0640013129</v>
      </c>
      <c r="F51" s="21">
        <f t="shared" si="5"/>
        <v>3822830.1043206197</v>
      </c>
      <c r="G51" s="21">
        <f t="shared" si="6"/>
        <v>3853931.4999264064</v>
      </c>
      <c r="H51" s="22">
        <f t="shared" si="7"/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"/>
  <sheetViews>
    <sheetView topLeftCell="A54" workbookViewId="0">
      <selection activeCell="I9" sqref="I9"/>
    </sheetView>
  </sheetViews>
  <sheetFormatPr defaultRowHeight="14.5" x14ac:dyDescent="0.35"/>
  <cols>
    <col min="1" max="1" width="3.81640625" bestFit="1" customWidth="1"/>
    <col min="2" max="2" width="8.90625" bestFit="1" customWidth="1"/>
    <col min="3" max="3" width="12.26953125" bestFit="1" customWidth="1"/>
    <col min="4" max="4" width="9.453125" bestFit="1" customWidth="1"/>
    <col min="5" max="7" width="11.81640625" bestFit="1" customWidth="1"/>
    <col min="8" max="8" width="8.26953125" bestFit="1" customWidth="1"/>
    <col min="9" max="9" width="11.81640625" bestFit="1" customWidth="1"/>
    <col min="10" max="10" width="46" customWidth="1"/>
    <col min="11" max="11" width="8" customWidth="1"/>
    <col min="12" max="12" width="7" customWidth="1"/>
  </cols>
  <sheetData>
    <row r="1" spans="1:12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4"/>
      <c r="J1" s="3" t="s">
        <v>63</v>
      </c>
      <c r="K1" s="3"/>
      <c r="L1" s="3"/>
    </row>
    <row r="2" spans="1:12" x14ac:dyDescent="0.35">
      <c r="A2" s="17" t="str">
        <f>Dataset_Rapi!A3</f>
        <v>P01</v>
      </c>
      <c r="B2" s="18">
        <f>Dataset_Rapi!B3</f>
        <v>1</v>
      </c>
      <c r="C2" s="19">
        <f>Dataset_Rapi!C3</f>
        <v>1</v>
      </c>
      <c r="D2" s="20">
        <f>Dataset_Rapi!D3</f>
        <v>50000</v>
      </c>
      <c r="E2" s="21">
        <f t="shared" ref="E2:E33" si="0">SQRT((B2-$J$2)^2+(C2-$K$2)^2+(D2-$L$2)^2)</f>
        <v>200248.84523262549</v>
      </c>
      <c r="F2" s="21">
        <f t="shared" ref="F2:F33" si="1">SQRT((B2-$J$3)^2+(C2-$K$3)^2+(D2-$L$3)^2)</f>
        <v>500098.99028292391</v>
      </c>
      <c r="G2" s="21">
        <f t="shared" ref="G2:G33" si="2">SQRT((B2-$J$4)^2+(C2-$K$4)^2+(D2-$L$4)^2)</f>
        <v>800561.30320981669</v>
      </c>
      <c r="H2" s="22">
        <f t="shared" ref="H2:H33" si="3">MATCH(MIN(E2:G2),E2:G2,0)</f>
        <v>1</v>
      </c>
      <c r="J2" s="2">
        <v>5</v>
      </c>
      <c r="K2" s="2">
        <v>200000</v>
      </c>
      <c r="L2" s="2">
        <v>40000</v>
      </c>
    </row>
    <row r="3" spans="1:12" x14ac:dyDescent="0.35">
      <c r="A3" s="17" t="str">
        <f>Dataset_Rapi!A4</f>
        <v>P02</v>
      </c>
      <c r="B3" s="18">
        <f>Dataset_Rapi!B4</f>
        <v>2</v>
      </c>
      <c r="C3" s="19">
        <f>Dataset_Rapi!C4</f>
        <v>2</v>
      </c>
      <c r="D3" s="20">
        <f>Dataset_Rapi!D4</f>
        <v>90000</v>
      </c>
      <c r="E3" s="21">
        <f t="shared" si="0"/>
        <v>206153.34101828182</v>
      </c>
      <c r="F3" s="21">
        <f t="shared" si="1"/>
        <v>500897.19510893652</v>
      </c>
      <c r="G3" s="21">
        <f t="shared" si="2"/>
        <v>800060.49782063358</v>
      </c>
      <c r="H3" s="22">
        <f t="shared" si="3"/>
        <v>1</v>
      </c>
      <c r="J3" s="2">
        <v>10</v>
      </c>
      <c r="K3" s="2">
        <v>500000</v>
      </c>
      <c r="L3" s="2">
        <v>60000</v>
      </c>
    </row>
    <row r="4" spans="1:12" x14ac:dyDescent="0.35">
      <c r="A4" s="17" t="str">
        <f>Dataset_Rapi!A5</f>
        <v>P03</v>
      </c>
      <c r="B4" s="18">
        <f>Dataset_Rapi!B5</f>
        <v>3</v>
      </c>
      <c r="C4" s="19">
        <f>Dataset_Rapi!C5</f>
        <v>2</v>
      </c>
      <c r="D4" s="20">
        <f>Dataset_Rapi!D5</f>
        <v>100000</v>
      </c>
      <c r="E4" s="21">
        <f t="shared" si="0"/>
        <v>208804.21453600979</v>
      </c>
      <c r="F4" s="21">
        <f t="shared" si="1"/>
        <v>501595.45457769051</v>
      </c>
      <c r="G4" s="21">
        <f t="shared" si="2"/>
        <v>800247.96166438307</v>
      </c>
      <c r="H4" s="22">
        <f t="shared" si="3"/>
        <v>1</v>
      </c>
      <c r="J4" s="2">
        <v>15</v>
      </c>
      <c r="K4" s="2">
        <v>800000</v>
      </c>
      <c r="L4" s="2">
        <v>80000</v>
      </c>
    </row>
    <row r="5" spans="1:12" x14ac:dyDescent="0.35">
      <c r="A5" s="17" t="str">
        <f>Dataset_Rapi!A6</f>
        <v>P04</v>
      </c>
      <c r="B5" s="18">
        <f>Dataset_Rapi!B6</f>
        <v>4</v>
      </c>
      <c r="C5" s="19">
        <f>Dataset_Rapi!C6</f>
        <v>3</v>
      </c>
      <c r="D5" s="20">
        <f>Dataset_Rapi!D6</f>
        <v>135000</v>
      </c>
      <c r="E5" s="21">
        <f t="shared" si="0"/>
        <v>221413.18842833189</v>
      </c>
      <c r="F5" s="21">
        <f t="shared" si="1"/>
        <v>505590.74363065627</v>
      </c>
      <c r="G5" s="21">
        <f t="shared" si="2"/>
        <v>801885.40336509433</v>
      </c>
      <c r="H5" s="22">
        <f t="shared" si="3"/>
        <v>1</v>
      </c>
      <c r="J5" s="2"/>
      <c r="K5" s="2"/>
      <c r="L5" s="2"/>
    </row>
    <row r="6" spans="1:12" x14ac:dyDescent="0.35">
      <c r="A6" s="17" t="str">
        <f>Dataset_Rapi!A7</f>
        <v>P05</v>
      </c>
      <c r="B6" s="18">
        <f>Dataset_Rapi!B7</f>
        <v>5</v>
      </c>
      <c r="C6" s="19">
        <f>Dataset_Rapi!C7</f>
        <v>3</v>
      </c>
      <c r="D6" s="20">
        <f>Dataset_Rapi!D7</f>
        <v>150000</v>
      </c>
      <c r="E6" s="21">
        <f t="shared" si="0"/>
        <v>228251.61556711927</v>
      </c>
      <c r="F6" s="21">
        <f t="shared" si="1"/>
        <v>508032.47931013227</v>
      </c>
      <c r="G6" s="21">
        <f t="shared" si="2"/>
        <v>803053.67199770652</v>
      </c>
      <c r="H6" s="22">
        <f t="shared" si="3"/>
        <v>1</v>
      </c>
      <c r="J6" s="2" t="s">
        <v>65</v>
      </c>
      <c r="K6" s="2"/>
      <c r="L6" s="2"/>
    </row>
    <row r="7" spans="1:12" x14ac:dyDescent="0.35">
      <c r="A7" s="17" t="str">
        <f>Dataset_Rapi!A8</f>
        <v>P06</v>
      </c>
      <c r="B7" s="18">
        <f>Dataset_Rapi!B8</f>
        <v>6</v>
      </c>
      <c r="C7" s="19">
        <f>Dataset_Rapi!C8</f>
        <v>4</v>
      </c>
      <c r="D7" s="20">
        <f>Dataset_Rapi!D8</f>
        <v>180000</v>
      </c>
      <c r="E7" s="21">
        <f t="shared" si="0"/>
        <v>244127.83539981671</v>
      </c>
      <c r="F7" s="21">
        <f t="shared" si="1"/>
        <v>514194.5157544954</v>
      </c>
      <c r="G7" s="21">
        <f t="shared" si="2"/>
        <v>806221.80576873512</v>
      </c>
      <c r="H7" s="22">
        <f t="shared" si="3"/>
        <v>1</v>
      </c>
    </row>
    <row r="8" spans="1:12" x14ac:dyDescent="0.35">
      <c r="A8" s="17" t="str">
        <f>Dataset_Rapi!A9</f>
        <v>P07</v>
      </c>
      <c r="B8" s="18">
        <f>Dataset_Rapi!B9</f>
        <v>7</v>
      </c>
      <c r="C8" s="19">
        <f>Dataset_Rapi!C9</f>
        <v>4</v>
      </c>
      <c r="D8" s="20">
        <f>Dataset_Rapi!D9</f>
        <v>200000</v>
      </c>
      <c r="E8" s="21">
        <f t="shared" si="0"/>
        <v>256121.84604207429</v>
      </c>
      <c r="F8" s="21">
        <f t="shared" si="1"/>
        <v>519226.34758359479</v>
      </c>
      <c r="G8" s="21">
        <f t="shared" si="2"/>
        <v>808945.98094063113</v>
      </c>
      <c r="H8" s="22">
        <f t="shared" si="3"/>
        <v>1</v>
      </c>
    </row>
    <row r="9" spans="1:12" x14ac:dyDescent="0.35">
      <c r="A9" s="17" t="str">
        <f>Dataset_Rapi!A10</f>
        <v>P08</v>
      </c>
      <c r="B9" s="18">
        <f>Dataset_Rapi!B10</f>
        <v>8</v>
      </c>
      <c r="C9" s="19">
        <f>Dataset_Rapi!C10</f>
        <v>5</v>
      </c>
      <c r="D9" s="20">
        <f>Dataset_Rapi!D10</f>
        <v>225000</v>
      </c>
      <c r="E9" s="21">
        <f t="shared" si="0"/>
        <v>272438.98405698111</v>
      </c>
      <c r="F9" s="21">
        <f t="shared" si="1"/>
        <v>526516.85635789472</v>
      </c>
      <c r="G9" s="21">
        <f t="shared" si="2"/>
        <v>813029.51980478549</v>
      </c>
      <c r="H9" s="22">
        <f t="shared" si="3"/>
        <v>1</v>
      </c>
    </row>
    <row r="10" spans="1:12" x14ac:dyDescent="0.35">
      <c r="A10" s="17" t="str">
        <f>Dataset_Rapi!A11</f>
        <v>P09</v>
      </c>
      <c r="B10" s="18">
        <f>Dataset_Rapi!B11</f>
        <v>9</v>
      </c>
      <c r="C10" s="19">
        <f>Dataset_Rapi!C11</f>
        <v>5</v>
      </c>
      <c r="D10" s="20">
        <f>Dataset_Rapi!D11</f>
        <v>250000</v>
      </c>
      <c r="E10" s="21">
        <f t="shared" si="0"/>
        <v>289996.55177432712</v>
      </c>
      <c r="F10" s="21">
        <f t="shared" si="1"/>
        <v>534878.49089863396</v>
      </c>
      <c r="G10" s="21">
        <f t="shared" si="2"/>
        <v>817858.17845210794</v>
      </c>
      <c r="H10" s="22">
        <f t="shared" si="3"/>
        <v>1</v>
      </c>
    </row>
    <row r="11" spans="1:12" x14ac:dyDescent="0.35">
      <c r="A11" s="17" t="str">
        <f>Dataset_Rapi!A12</f>
        <v>P10</v>
      </c>
      <c r="B11" s="18">
        <f>Dataset_Rapi!B12</f>
        <v>10</v>
      </c>
      <c r="C11" s="19">
        <f>Dataset_Rapi!C12</f>
        <v>6</v>
      </c>
      <c r="D11" s="20">
        <f>Dataset_Rapi!D12</f>
        <v>300000</v>
      </c>
      <c r="E11" s="21">
        <f t="shared" si="0"/>
        <v>328020.73114515183</v>
      </c>
      <c r="F11" s="21">
        <f t="shared" si="1"/>
        <v>554611.57582221448</v>
      </c>
      <c r="G11" s="21">
        <f t="shared" si="2"/>
        <v>829692.95529189589</v>
      </c>
      <c r="H11" s="22">
        <f t="shared" si="3"/>
        <v>1</v>
      </c>
    </row>
    <row r="12" spans="1:12" x14ac:dyDescent="0.35">
      <c r="A12" s="17" t="str">
        <f>Dataset_Rapi!A13</f>
        <v>P11</v>
      </c>
      <c r="B12" s="18">
        <f>Dataset_Rapi!B13</f>
        <v>11</v>
      </c>
      <c r="C12" s="19">
        <f>Dataset_Rapi!C13</f>
        <v>6</v>
      </c>
      <c r="D12" s="20">
        <f>Dataset_Rapi!D13</f>
        <v>330000</v>
      </c>
      <c r="E12" s="21">
        <f t="shared" si="0"/>
        <v>352274.89276415942</v>
      </c>
      <c r="F12" s="21">
        <f t="shared" si="1"/>
        <v>568237.62638266047</v>
      </c>
      <c r="G12" s="21">
        <f t="shared" si="2"/>
        <v>838147.00384359783</v>
      </c>
      <c r="H12" s="22">
        <f t="shared" si="3"/>
        <v>1</v>
      </c>
    </row>
    <row r="13" spans="1:12" x14ac:dyDescent="0.35">
      <c r="A13" s="17" t="str">
        <f>Dataset_Rapi!A14</f>
        <v>P12</v>
      </c>
      <c r="B13" s="18">
        <f>Dataset_Rapi!B14</f>
        <v>12</v>
      </c>
      <c r="C13" s="19">
        <f>Dataset_Rapi!C14</f>
        <v>7</v>
      </c>
      <c r="D13" s="20">
        <f>Dataset_Rapi!D14</f>
        <v>385000</v>
      </c>
      <c r="E13" s="21">
        <f t="shared" si="0"/>
        <v>398775.8770261812</v>
      </c>
      <c r="F13" s="21">
        <f t="shared" si="1"/>
        <v>596337.15300407039</v>
      </c>
      <c r="G13" s="21">
        <f t="shared" si="2"/>
        <v>856162.25101203797</v>
      </c>
      <c r="H13" s="22">
        <f t="shared" si="3"/>
        <v>1</v>
      </c>
    </row>
    <row r="14" spans="1:12" x14ac:dyDescent="0.35">
      <c r="A14" s="17" t="str">
        <f>Dataset_Rapi!A15</f>
        <v>P13</v>
      </c>
      <c r="B14" s="18">
        <f>Dataset_Rapi!B15</f>
        <v>13</v>
      </c>
      <c r="C14" s="19">
        <f>Dataset_Rapi!C15</f>
        <v>8</v>
      </c>
      <c r="D14" s="20">
        <f>Dataset_Rapi!D15</f>
        <v>440000</v>
      </c>
      <c r="E14" s="21">
        <f t="shared" si="0"/>
        <v>447210.0179199925</v>
      </c>
      <c r="F14" s="21">
        <f t="shared" si="1"/>
        <v>628006.36945257173</v>
      </c>
      <c r="G14" s="21">
        <f t="shared" si="2"/>
        <v>877261.19261483348</v>
      </c>
      <c r="H14" s="22">
        <f t="shared" si="3"/>
        <v>1</v>
      </c>
    </row>
    <row r="15" spans="1:12" x14ac:dyDescent="0.35">
      <c r="A15" s="17" t="str">
        <f>Dataset_Rapi!A16</f>
        <v>P14</v>
      </c>
      <c r="B15" s="18">
        <f>Dataset_Rapi!B16</f>
        <v>14</v>
      </c>
      <c r="C15" s="19">
        <f>Dataset_Rapi!C16</f>
        <v>9</v>
      </c>
      <c r="D15" s="20">
        <f>Dataset_Rapi!D16</f>
        <v>495000</v>
      </c>
      <c r="E15" s="21">
        <f t="shared" si="0"/>
        <v>497012.47485551104</v>
      </c>
      <c r="F15" s="21">
        <f t="shared" si="1"/>
        <v>662733.73242728482</v>
      </c>
      <c r="G15" s="21">
        <f t="shared" si="2"/>
        <v>901227.27437755675</v>
      </c>
      <c r="H15" s="22">
        <f t="shared" si="3"/>
        <v>1</v>
      </c>
    </row>
    <row r="16" spans="1:12" x14ac:dyDescent="0.35">
      <c r="A16" s="17" t="str">
        <f>Dataset_Rapi!A17</f>
        <v>P15</v>
      </c>
      <c r="B16" s="18">
        <f>Dataset_Rapi!B17</f>
        <v>15</v>
      </c>
      <c r="C16" s="19">
        <f>Dataset_Rapi!C17</f>
        <v>10</v>
      </c>
      <c r="D16" s="20">
        <f>Dataset_Rapi!D17</f>
        <v>550000</v>
      </c>
      <c r="E16" s="21">
        <f t="shared" si="0"/>
        <v>547810.18628718471</v>
      </c>
      <c r="F16" s="21">
        <f t="shared" si="1"/>
        <v>700064.28285193921</v>
      </c>
      <c r="G16" s="21">
        <f t="shared" si="2"/>
        <v>927838.34804345097</v>
      </c>
      <c r="H16" s="22">
        <f t="shared" si="3"/>
        <v>1</v>
      </c>
    </row>
    <row r="17" spans="1:8" x14ac:dyDescent="0.35">
      <c r="A17" s="17" t="str">
        <f>Dataset_Rapi!A18</f>
        <v>P16</v>
      </c>
      <c r="B17" s="18">
        <f>Dataset_Rapi!B18</f>
        <v>16</v>
      </c>
      <c r="C17" s="19">
        <f>Dataset_Rapi!C18</f>
        <v>11</v>
      </c>
      <c r="D17" s="20">
        <f>Dataset_Rapi!D18</f>
        <v>605000</v>
      </c>
      <c r="E17" s="21">
        <f t="shared" si="0"/>
        <v>599350.1482789506</v>
      </c>
      <c r="F17" s="21">
        <f t="shared" si="1"/>
        <v>739603.94817564357</v>
      </c>
      <c r="G17" s="21">
        <f t="shared" si="2"/>
        <v>956873.76394276798</v>
      </c>
      <c r="H17" s="22">
        <f t="shared" si="3"/>
        <v>1</v>
      </c>
    </row>
    <row r="18" spans="1:8" x14ac:dyDescent="0.35">
      <c r="A18" s="17" t="str">
        <f>Dataset_Rapi!A19</f>
        <v>P17</v>
      </c>
      <c r="B18" s="18">
        <f>Dataset_Rapi!B19</f>
        <v>17</v>
      </c>
      <c r="C18" s="19">
        <f>Dataset_Rapi!C19</f>
        <v>12</v>
      </c>
      <c r="D18" s="20">
        <f>Dataset_Rapi!D19</f>
        <v>660000</v>
      </c>
      <c r="E18" s="21">
        <f t="shared" si="0"/>
        <v>651456.21517336066</v>
      </c>
      <c r="F18" s="21">
        <f t="shared" si="1"/>
        <v>781017.28546364454</v>
      </c>
      <c r="G18" s="21">
        <f t="shared" si="2"/>
        <v>988119.83086465788</v>
      </c>
      <c r="H18" s="22">
        <f t="shared" si="3"/>
        <v>1</v>
      </c>
    </row>
    <row r="19" spans="1:8" x14ac:dyDescent="0.35">
      <c r="A19" s="17" t="str">
        <f>Dataset_Rapi!A20</f>
        <v>P18</v>
      </c>
      <c r="B19" s="18">
        <f>Dataset_Rapi!B20</f>
        <v>18</v>
      </c>
      <c r="C19" s="19">
        <f>Dataset_Rapi!C20</f>
        <v>13</v>
      </c>
      <c r="D19" s="20">
        <f>Dataset_Rapi!D20</f>
        <v>715000</v>
      </c>
      <c r="E19" s="21">
        <f t="shared" si="0"/>
        <v>704002.69909851905</v>
      </c>
      <c r="F19" s="21">
        <f t="shared" si="1"/>
        <v>824021.84451202501</v>
      </c>
      <c r="G19" s="21">
        <f t="shared" si="2"/>
        <v>1021373.6829280456</v>
      </c>
      <c r="H19" s="22">
        <f t="shared" si="3"/>
        <v>1</v>
      </c>
    </row>
    <row r="20" spans="1:8" x14ac:dyDescent="0.35">
      <c r="A20" s="17" t="str">
        <f>Dataset_Rapi!A21</f>
        <v>P19</v>
      </c>
      <c r="B20" s="18">
        <f>Dataset_Rapi!B21</f>
        <v>19</v>
      </c>
      <c r="C20" s="19">
        <f>Dataset_Rapi!C21</f>
        <v>14</v>
      </c>
      <c r="D20" s="20">
        <f>Dataset_Rapi!D21</f>
        <v>770000</v>
      </c>
      <c r="E20" s="21">
        <f t="shared" si="0"/>
        <v>756897.87976450298</v>
      </c>
      <c r="F20" s="21">
        <f t="shared" si="1"/>
        <v>868381.25283598795</v>
      </c>
      <c r="G20" s="21">
        <f t="shared" si="2"/>
        <v>1056445.7393600487</v>
      </c>
      <c r="H20" s="22">
        <f t="shared" si="3"/>
        <v>1</v>
      </c>
    </row>
    <row r="21" spans="1:8" x14ac:dyDescent="0.35">
      <c r="A21" s="17" t="str">
        <f>Dataset_Rapi!A22</f>
        <v>P20</v>
      </c>
      <c r="B21" s="18">
        <f>Dataset_Rapi!B22</f>
        <v>20</v>
      </c>
      <c r="C21" s="19">
        <f>Dataset_Rapi!C22</f>
        <v>15</v>
      </c>
      <c r="D21" s="20">
        <f>Dataset_Rapi!D22</f>
        <v>825000</v>
      </c>
      <c r="E21" s="21">
        <f t="shared" si="0"/>
        <v>810073.45373737556</v>
      </c>
      <c r="F21" s="21">
        <f t="shared" si="1"/>
        <v>913898.2439664714</v>
      </c>
      <c r="G21" s="21">
        <f t="shared" si="2"/>
        <v>1093161.0129573776</v>
      </c>
      <c r="H21" s="22">
        <f t="shared" si="3"/>
        <v>1</v>
      </c>
    </row>
    <row r="22" spans="1:8" x14ac:dyDescent="0.35">
      <c r="A22" s="17" t="str">
        <f>Dataset_Rapi!A23</f>
        <v>P21</v>
      </c>
      <c r="B22" s="18">
        <f>Dataset_Rapi!B23</f>
        <v>21</v>
      </c>
      <c r="C22" s="19">
        <f>Dataset_Rapi!C23</f>
        <v>16</v>
      </c>
      <c r="D22" s="20">
        <f>Dataset_Rapi!D23</f>
        <v>880000</v>
      </c>
      <c r="E22" s="21">
        <f t="shared" si="0"/>
        <v>863477.62015700212</v>
      </c>
      <c r="F22" s="21">
        <f t="shared" si="1"/>
        <v>960408.24672479776</v>
      </c>
      <c r="G22" s="21">
        <f t="shared" si="2"/>
        <v>1131359.5362624563</v>
      </c>
      <c r="H22" s="22">
        <f t="shared" si="3"/>
        <v>1</v>
      </c>
    </row>
    <row r="23" spans="1:8" x14ac:dyDescent="0.35">
      <c r="A23" s="17" t="str">
        <f>Dataset_Rapi!A24</f>
        <v>P22</v>
      </c>
      <c r="B23" s="18">
        <f>Dataset_Rapi!B24</f>
        <v>22</v>
      </c>
      <c r="C23" s="19">
        <f>Dataset_Rapi!C24</f>
        <v>17</v>
      </c>
      <c r="D23" s="20">
        <f>Dataset_Rapi!D24</f>
        <v>935000</v>
      </c>
      <c r="E23" s="21">
        <f t="shared" si="0"/>
        <v>917070.44471948827</v>
      </c>
      <c r="F23" s="21">
        <f t="shared" si="1"/>
        <v>1007773.7843549018</v>
      </c>
      <c r="G23" s="21">
        <f t="shared" si="2"/>
        <v>1170896.1526702528</v>
      </c>
      <c r="H23" s="22">
        <f t="shared" si="3"/>
        <v>1</v>
      </c>
    </row>
    <row r="24" spans="1:8" x14ac:dyDescent="0.35">
      <c r="A24" s="17" t="str">
        <f>Dataset_Rapi!A25</f>
        <v>P23</v>
      </c>
      <c r="B24" s="18">
        <f>Dataset_Rapi!B25</f>
        <v>23</v>
      </c>
      <c r="C24" s="19">
        <f>Dataset_Rapi!C25</f>
        <v>18</v>
      </c>
      <c r="D24" s="20">
        <f>Dataset_Rapi!D25</f>
        <v>990000</v>
      </c>
      <c r="E24" s="21">
        <f t="shared" si="0"/>
        <v>970820.68408537738</v>
      </c>
      <c r="F24" s="21">
        <f t="shared" si="1"/>
        <v>1055879.7282328135</v>
      </c>
      <c r="G24" s="21">
        <f t="shared" si="2"/>
        <v>1211639.8806526633</v>
      </c>
      <c r="H24" s="22">
        <f t="shared" si="3"/>
        <v>1</v>
      </c>
    </row>
    <row r="25" spans="1:8" x14ac:dyDescent="0.35">
      <c r="A25" s="17" t="str">
        <f>Dataset_Rapi!A26</f>
        <v>P24</v>
      </c>
      <c r="B25" s="18">
        <f>Dataset_Rapi!B26</f>
        <v>24</v>
      </c>
      <c r="C25" s="19">
        <f>Dataset_Rapi!C26</f>
        <v>19</v>
      </c>
      <c r="D25" s="20">
        <f>Dataset_Rapi!D26</f>
        <v>1045000</v>
      </c>
      <c r="E25" s="21">
        <f t="shared" si="0"/>
        <v>1024703.5672437176</v>
      </c>
      <c r="F25" s="21">
        <f t="shared" si="1"/>
        <v>1104629.3498531533</v>
      </c>
      <c r="G25" s="21">
        <f t="shared" si="2"/>
        <v>1253473.015442295</v>
      </c>
      <c r="H25" s="22">
        <f t="shared" si="3"/>
        <v>1</v>
      </c>
    </row>
    <row r="26" spans="1:8" x14ac:dyDescent="0.35">
      <c r="A26" s="17" t="str">
        <f>Dataset_Rapi!A27</f>
        <v>P25</v>
      </c>
      <c r="B26" s="18">
        <f>Dataset_Rapi!B27</f>
        <v>25</v>
      </c>
      <c r="C26" s="19">
        <f>Dataset_Rapi!C27</f>
        <v>20</v>
      </c>
      <c r="D26" s="20">
        <f>Dataset_Rapi!D27</f>
        <v>1100000</v>
      </c>
      <c r="E26" s="21">
        <f t="shared" si="0"/>
        <v>1078699.2170202034</v>
      </c>
      <c r="F26" s="21">
        <f t="shared" si="1"/>
        <v>1153941.0732897066</v>
      </c>
      <c r="G26" s="21">
        <f t="shared" si="2"/>
        <v>1296290.0911832969</v>
      </c>
      <c r="H26" s="22">
        <f t="shared" si="3"/>
        <v>1</v>
      </c>
    </row>
    <row r="27" spans="1:8" x14ac:dyDescent="0.35">
      <c r="A27" s="17" t="str">
        <f>Dataset_Rapi!A28</f>
        <v>P26</v>
      </c>
      <c r="B27" s="18">
        <f>Dataset_Rapi!B28</f>
        <v>26</v>
      </c>
      <c r="C27" s="19">
        <f>Dataset_Rapi!C28</f>
        <v>22</v>
      </c>
      <c r="D27" s="20">
        <f>Dataset_Rapi!D28</f>
        <v>1210000</v>
      </c>
      <c r="E27" s="21">
        <f t="shared" si="0"/>
        <v>1186967.2282438972</v>
      </c>
      <c r="F27" s="21">
        <f t="shared" si="1"/>
        <v>1253984.8486883724</v>
      </c>
      <c r="G27" s="21">
        <f t="shared" si="2"/>
        <v>1384508.8662067137</v>
      </c>
      <c r="H27" s="22">
        <f t="shared" si="3"/>
        <v>1</v>
      </c>
    </row>
    <row r="28" spans="1:8" x14ac:dyDescent="0.35">
      <c r="A28" s="17" t="str">
        <f>Dataset_Rapi!A29</f>
        <v>P27</v>
      </c>
      <c r="B28" s="18">
        <f>Dataset_Rapi!B29</f>
        <v>27</v>
      </c>
      <c r="C28" s="19">
        <f>Dataset_Rapi!C29</f>
        <v>24</v>
      </c>
      <c r="D28" s="20">
        <f>Dataset_Rapi!D29</f>
        <v>1320000</v>
      </c>
      <c r="E28" s="21">
        <f t="shared" si="0"/>
        <v>1295527.074614807</v>
      </c>
      <c r="F28" s="21">
        <f t="shared" si="1"/>
        <v>1355572.2042241055</v>
      </c>
      <c r="G28" s="21">
        <f t="shared" si="2"/>
        <v>1475656.328797461</v>
      </c>
      <c r="H28" s="22">
        <f t="shared" si="3"/>
        <v>1</v>
      </c>
    </row>
    <row r="29" spans="1:8" x14ac:dyDescent="0.35">
      <c r="A29" s="17" t="str">
        <f>Dataset_Rapi!A30</f>
        <v>P28</v>
      </c>
      <c r="B29" s="18">
        <f>Dataset_Rapi!B30</f>
        <v>28</v>
      </c>
      <c r="C29" s="19">
        <f>Dataset_Rapi!C30</f>
        <v>26</v>
      </c>
      <c r="D29" s="20">
        <f>Dataset_Rapi!D30</f>
        <v>1430000</v>
      </c>
      <c r="E29" s="21">
        <f t="shared" si="0"/>
        <v>1404311.077078366</v>
      </c>
      <c r="F29" s="21">
        <f t="shared" si="1"/>
        <v>1458380.6091003816</v>
      </c>
      <c r="G29" s="21">
        <f t="shared" si="2"/>
        <v>1569222.227998635</v>
      </c>
      <c r="H29" s="22">
        <f t="shared" si="3"/>
        <v>1</v>
      </c>
    </row>
    <row r="30" spans="1:8" x14ac:dyDescent="0.35">
      <c r="A30" s="17" t="str">
        <f>Dataset_Rapi!A31</f>
        <v>P29</v>
      </c>
      <c r="B30" s="18">
        <f>Dataset_Rapi!B31</f>
        <v>29</v>
      </c>
      <c r="C30" s="19">
        <f>Dataset_Rapi!C31</f>
        <v>28</v>
      </c>
      <c r="D30" s="20">
        <f>Dataset_Rapi!D31</f>
        <v>1540000</v>
      </c>
      <c r="E30" s="21">
        <f t="shared" si="0"/>
        <v>1513270.8949028261</v>
      </c>
      <c r="F30" s="21">
        <f t="shared" si="1"/>
        <v>1562169.0053080043</v>
      </c>
      <c r="G30" s="21">
        <f t="shared" si="2"/>
        <v>1664798.8470022436</v>
      </c>
      <c r="H30" s="22">
        <f t="shared" si="3"/>
        <v>1</v>
      </c>
    </row>
    <row r="31" spans="1:8" x14ac:dyDescent="0.35">
      <c r="A31" s="17" t="str">
        <f>Dataset_Rapi!A32</f>
        <v>P30</v>
      </c>
      <c r="B31" s="18">
        <f>Dataset_Rapi!B32</f>
        <v>30</v>
      </c>
      <c r="C31" s="19">
        <f>Dataset_Rapi!C32</f>
        <v>30</v>
      </c>
      <c r="D31" s="20">
        <f>Dataset_Rapi!D32</f>
        <v>1650000</v>
      </c>
      <c r="E31" s="21">
        <f t="shared" si="0"/>
        <v>1622371.1047491569</v>
      </c>
      <c r="F31" s="21">
        <f t="shared" si="1"/>
        <v>1666754.3314178009</v>
      </c>
      <c r="G31" s="21">
        <f t="shared" si="2"/>
        <v>1762059.0231672151</v>
      </c>
      <c r="H31" s="22">
        <f t="shared" si="3"/>
        <v>1</v>
      </c>
    </row>
    <row r="32" spans="1:8" x14ac:dyDescent="0.35">
      <c r="A32" s="17" t="str">
        <f>Dataset_Rapi!A33</f>
        <v>P31</v>
      </c>
      <c r="B32" s="18">
        <f>Dataset_Rapi!B33</f>
        <v>31</v>
      </c>
      <c r="C32" s="19">
        <f>Dataset_Rapi!C33</f>
        <v>32</v>
      </c>
      <c r="D32" s="20">
        <f>Dataset_Rapi!D33</f>
        <v>1760000</v>
      </c>
      <c r="E32" s="21">
        <f t="shared" si="0"/>
        <v>1731585.1702125426</v>
      </c>
      <c r="F32" s="21">
        <f t="shared" si="1"/>
        <v>1771995.4857349384</v>
      </c>
      <c r="G32" s="21">
        <f t="shared" si="2"/>
        <v>1860738.7783565968</v>
      </c>
      <c r="H32" s="22">
        <f t="shared" si="3"/>
        <v>1</v>
      </c>
    </row>
    <row r="33" spans="1:8" x14ac:dyDescent="0.35">
      <c r="A33" s="17" t="str">
        <f>Dataset_Rapi!A34</f>
        <v>P32</v>
      </c>
      <c r="B33" s="18">
        <f>Dataset_Rapi!B34</f>
        <v>32</v>
      </c>
      <c r="C33" s="19">
        <f>Dataset_Rapi!C34</f>
        <v>34</v>
      </c>
      <c r="D33" s="20">
        <f>Dataset_Rapi!D34</f>
        <v>1870000</v>
      </c>
      <c r="E33" s="21">
        <f t="shared" si="0"/>
        <v>1840892.8273761622</v>
      </c>
      <c r="F33" s="21">
        <f t="shared" si="1"/>
        <v>1877782.2029298285</v>
      </c>
      <c r="G33" s="21">
        <f t="shared" si="2"/>
        <v>1960623.7786594857</v>
      </c>
      <c r="H33" s="22">
        <f t="shared" si="3"/>
        <v>1</v>
      </c>
    </row>
    <row r="34" spans="1:8" x14ac:dyDescent="0.35">
      <c r="A34" s="17" t="str">
        <f>Dataset_Rapi!A35</f>
        <v>P33</v>
      </c>
      <c r="B34" s="18">
        <f>Dataset_Rapi!B35</f>
        <v>33</v>
      </c>
      <c r="C34" s="19">
        <f>Dataset_Rapi!C35</f>
        <v>36</v>
      </c>
      <c r="D34" s="20">
        <f>Dataset_Rapi!D35</f>
        <v>1980000</v>
      </c>
      <c r="E34" s="21">
        <f t="shared" ref="E34:E65" si="4">SQRT((B34-$J$2)^2+(C34-$K$2)^2+(D34-$L$2)^2)</f>
        <v>1950278.3396428316</v>
      </c>
      <c r="F34" s="21">
        <f t="shared" ref="F34:F51" si="5">SQRT((B34-$J$3)^2+(C34-$K$3)^2+(D34-$L$3)^2)</f>
        <v>1984027.2180151662</v>
      </c>
      <c r="G34" s="21">
        <f t="shared" ref="G34:G51" si="6">SQRT((B34-$J$4)^2+(C34-$K$4)^2+(D34-$L$4)^2)</f>
        <v>2061538.8431024044</v>
      </c>
      <c r="H34" s="22">
        <f t="shared" ref="H34:H65" si="7">MATCH(MIN(E34:G34),E34:G34,0)</f>
        <v>1</v>
      </c>
    </row>
    <row r="35" spans="1:8" x14ac:dyDescent="0.35">
      <c r="A35" s="17" t="str">
        <f>Dataset_Rapi!A36</f>
        <v>P34</v>
      </c>
      <c r="B35" s="18">
        <f>Dataset_Rapi!B36</f>
        <v>34</v>
      </c>
      <c r="C35" s="19">
        <f>Dataset_Rapi!C36</f>
        <v>38</v>
      </c>
      <c r="D35" s="20">
        <f>Dataset_Rapi!D36</f>
        <v>2090000</v>
      </c>
      <c r="E35" s="21">
        <f t="shared" si="4"/>
        <v>2059729.3031573349</v>
      </c>
      <c r="F35" s="21">
        <f t="shared" si="5"/>
        <v>2090660.6616139312</v>
      </c>
      <c r="G35" s="21">
        <f t="shared" si="6"/>
        <v>2163339.8257798059</v>
      </c>
      <c r="H35" s="22">
        <f t="shared" si="7"/>
        <v>1</v>
      </c>
    </row>
    <row r="36" spans="1:8" x14ac:dyDescent="0.35">
      <c r="A36" s="17" t="str">
        <f>Dataset_Rapi!A37</f>
        <v>P35</v>
      </c>
      <c r="B36" s="18">
        <f>Dataset_Rapi!B37</f>
        <v>35</v>
      </c>
      <c r="C36" s="19">
        <f>Dataset_Rapi!C37</f>
        <v>40</v>
      </c>
      <c r="D36" s="20">
        <f>Dataset_Rapi!D37</f>
        <v>2200000</v>
      </c>
      <c r="E36" s="21">
        <f t="shared" si="4"/>
        <v>2169235.8107176824</v>
      </c>
      <c r="F36" s="21">
        <f t="shared" si="5"/>
        <v>2197625.9923437838</v>
      </c>
      <c r="G36" s="21">
        <f t="shared" si="6"/>
        <v>2265907.3242301857</v>
      </c>
      <c r="H36" s="22">
        <f t="shared" si="7"/>
        <v>1</v>
      </c>
    </row>
    <row r="37" spans="1:8" x14ac:dyDescent="0.35">
      <c r="A37" s="17" t="str">
        <f>Dataset_Rapi!A38</f>
        <v>P36</v>
      </c>
      <c r="B37" s="18">
        <f>Dataset_Rapi!B38</f>
        <v>36</v>
      </c>
      <c r="C37" s="19">
        <f>Dataset_Rapi!C38</f>
        <v>42</v>
      </c>
      <c r="D37" s="20">
        <f>Dataset_Rapi!D38</f>
        <v>2310000</v>
      </c>
      <c r="E37" s="21">
        <f t="shared" si="4"/>
        <v>2278789.8548846054</v>
      </c>
      <c r="F37" s="21">
        <f t="shared" si="5"/>
        <v>2304877.003755298</v>
      </c>
      <c r="G37" s="21">
        <f t="shared" si="6"/>
        <v>2369141.7860071189</v>
      </c>
      <c r="H37" s="22">
        <f t="shared" si="7"/>
        <v>1</v>
      </c>
    </row>
    <row r="38" spans="1:8" x14ac:dyDescent="0.35">
      <c r="A38" s="17" t="str">
        <f>Dataset_Rapi!A39</f>
        <v>P37</v>
      </c>
      <c r="B38" s="18">
        <f>Dataset_Rapi!B39</f>
        <v>37</v>
      </c>
      <c r="C38" s="19">
        <f>Dataset_Rapi!C39</f>
        <v>44</v>
      </c>
      <c r="D38" s="20">
        <f>Dataset_Rapi!D39</f>
        <v>2420000</v>
      </c>
      <c r="E38" s="21">
        <f t="shared" si="4"/>
        <v>2388384.8942245468</v>
      </c>
      <c r="F38" s="21">
        <f t="shared" si="5"/>
        <v>2412375.5931995749</v>
      </c>
      <c r="G38" s="21">
        <f t="shared" si="6"/>
        <v>2472959.6847542822</v>
      </c>
      <c r="H38" s="22">
        <f t="shared" si="7"/>
        <v>1</v>
      </c>
    </row>
    <row r="39" spans="1:8" x14ac:dyDescent="0.35">
      <c r="A39" s="17" t="str">
        <f>Dataset_Rapi!A40</f>
        <v>P38</v>
      </c>
      <c r="B39" s="18">
        <f>Dataset_Rapi!B40</f>
        <v>38</v>
      </c>
      <c r="C39" s="19">
        <f>Dataset_Rapi!C40</f>
        <v>46</v>
      </c>
      <c r="D39" s="20">
        <f>Dataset_Rapi!D40</f>
        <v>2530000</v>
      </c>
      <c r="E39" s="21">
        <f t="shared" si="4"/>
        <v>2498015.5330191604</v>
      </c>
      <c r="F39" s="21">
        <f t="shared" si="5"/>
        <v>2520090.0783305345</v>
      </c>
      <c r="G39" s="21">
        <f t="shared" si="6"/>
        <v>2577290.5157635994</v>
      </c>
      <c r="H39" s="22">
        <f t="shared" si="7"/>
        <v>1</v>
      </c>
    </row>
    <row r="40" spans="1:8" x14ac:dyDescent="0.35">
      <c r="A40" s="17" t="str">
        <f>Dataset_Rapi!A41</f>
        <v>P39</v>
      </c>
      <c r="B40" s="18">
        <f>Dataset_Rapi!B41</f>
        <v>39</v>
      </c>
      <c r="C40" s="19">
        <f>Dataset_Rapi!C41</f>
        <v>48</v>
      </c>
      <c r="D40" s="20">
        <f>Dataset_Rapi!D41</f>
        <v>2640000</v>
      </c>
      <c r="E40" s="21">
        <f t="shared" si="4"/>
        <v>2607677.2813099399</v>
      </c>
      <c r="F40" s="21">
        <f t="shared" si="5"/>
        <v>2627993.9123112517</v>
      </c>
      <c r="G40" s="21">
        <f t="shared" si="6"/>
        <v>2682074.4215774476</v>
      </c>
      <c r="H40" s="22">
        <f t="shared" si="7"/>
        <v>1</v>
      </c>
    </row>
    <row r="41" spans="1:8" x14ac:dyDescent="0.35">
      <c r="A41" s="17" t="str">
        <f>Dataset_Rapi!A42</f>
        <v>P40</v>
      </c>
      <c r="B41" s="18">
        <f>Dataset_Rapi!B42</f>
        <v>40</v>
      </c>
      <c r="C41" s="19">
        <f>Dataset_Rapi!C42</f>
        <v>50</v>
      </c>
      <c r="D41" s="20">
        <f>Dataset_Rapi!D42</f>
        <v>2750000</v>
      </c>
      <c r="E41" s="21">
        <f t="shared" si="4"/>
        <v>2717366.3727449416</v>
      </c>
      <c r="F41" s="21">
        <f t="shared" si="5"/>
        <v>2736064.6928389687</v>
      </c>
      <c r="G41" s="21">
        <f t="shared" si="6"/>
        <v>2787260.3041562159</v>
      </c>
      <c r="H41" s="22">
        <f t="shared" si="7"/>
        <v>1</v>
      </c>
    </row>
    <row r="42" spans="1:8" x14ac:dyDescent="0.35">
      <c r="A42" s="17" t="str">
        <f>Dataset_Rapi!A43</f>
        <v>P41</v>
      </c>
      <c r="B42" s="18">
        <f>Dataset_Rapi!B43</f>
        <v>41</v>
      </c>
      <c r="C42" s="19">
        <f>Dataset_Rapi!C43</f>
        <v>52</v>
      </c>
      <c r="D42" s="20">
        <f>Dataset_Rapi!D43</f>
        <v>2860000</v>
      </c>
      <c r="E42" s="21">
        <f t="shared" si="4"/>
        <v>2827079.6246303357</v>
      </c>
      <c r="F42" s="21">
        <f t="shared" si="5"/>
        <v>2844283.3901819629</v>
      </c>
      <c r="G42" s="21">
        <f t="shared" si="6"/>
        <v>2892804.3147402834</v>
      </c>
      <c r="H42" s="22">
        <f t="shared" si="7"/>
        <v>1</v>
      </c>
    </row>
    <row r="43" spans="1:8" x14ac:dyDescent="0.35">
      <c r="A43" s="17" t="str">
        <f>Dataset_Rapi!A44</f>
        <v>P42</v>
      </c>
      <c r="B43" s="18">
        <f>Dataset_Rapi!B44</f>
        <v>42</v>
      </c>
      <c r="C43" s="19">
        <f>Dataset_Rapi!C44</f>
        <v>54</v>
      </c>
      <c r="D43" s="20">
        <f>Dataset_Rapi!D44</f>
        <v>2970000</v>
      </c>
      <c r="E43" s="21">
        <f t="shared" si="4"/>
        <v>2936814.3292154172</v>
      </c>
      <c r="F43" s="21">
        <f t="shared" si="5"/>
        <v>2952633.7402292211</v>
      </c>
      <c r="G43" s="21">
        <f t="shared" si="6"/>
        <v>2998668.6385202683</v>
      </c>
      <c r="H43" s="22">
        <f t="shared" si="7"/>
        <v>1</v>
      </c>
    </row>
    <row r="44" spans="1:8" x14ac:dyDescent="0.35">
      <c r="A44" s="17" t="str">
        <f>Dataset_Rapi!A45</f>
        <v>P43</v>
      </c>
      <c r="B44" s="18">
        <f>Dataset_Rapi!B45</f>
        <v>43</v>
      </c>
      <c r="C44" s="19">
        <f>Dataset_Rapi!C45</f>
        <v>56</v>
      </c>
      <c r="D44" s="20">
        <f>Dataset_Rapi!D45</f>
        <v>3080000</v>
      </c>
      <c r="E44" s="21">
        <f t="shared" si="4"/>
        <v>3046568.1683789715</v>
      </c>
      <c r="F44" s="21">
        <f t="shared" si="5"/>
        <v>3061101.7631279426</v>
      </c>
      <c r="G44" s="21">
        <f t="shared" si="6"/>
        <v>3104820.5107413214</v>
      </c>
      <c r="H44" s="22">
        <f t="shared" si="7"/>
        <v>1</v>
      </c>
    </row>
    <row r="45" spans="1:8" x14ac:dyDescent="0.35">
      <c r="A45" s="17" t="str">
        <f>Dataset_Rapi!A46</f>
        <v>P44</v>
      </c>
      <c r="B45" s="18">
        <f>Dataset_Rapi!B46</f>
        <v>44</v>
      </c>
      <c r="C45" s="19">
        <f>Dataset_Rapi!C46</f>
        <v>58</v>
      </c>
      <c r="D45" s="20">
        <f>Dataset_Rapi!D46</f>
        <v>3190000</v>
      </c>
      <c r="E45" s="21">
        <f t="shared" si="4"/>
        <v>3156339.1460495815</v>
      </c>
      <c r="F45" s="21">
        <f t="shared" si="5"/>
        <v>3169675.3784133792</v>
      </c>
      <c r="G45" s="21">
        <f t="shared" si="6"/>
        <v>3211231.4155484028</v>
      </c>
      <c r="H45" s="22">
        <f t="shared" si="7"/>
        <v>1</v>
      </c>
    </row>
    <row r="46" spans="1:8" x14ac:dyDescent="0.35">
      <c r="A46" s="17" t="str">
        <f>Dataset_Rapi!A47</f>
        <v>P45</v>
      </c>
      <c r="B46" s="18">
        <f>Dataset_Rapi!B47</f>
        <v>45</v>
      </c>
      <c r="C46" s="19">
        <f>Dataset_Rapi!C47</f>
        <v>60</v>
      </c>
      <c r="D46" s="20">
        <f>Dataset_Rapi!D47</f>
        <v>3300000</v>
      </c>
      <c r="E46" s="21">
        <f t="shared" si="4"/>
        <v>3266125.5342071592</v>
      </c>
      <c r="F46" s="21">
        <f t="shared" si="5"/>
        <v>3278344.0949395476</v>
      </c>
      <c r="G46" s="21">
        <f t="shared" si="6"/>
        <v>3317876.4299623938</v>
      </c>
      <c r="H46" s="22">
        <f t="shared" si="7"/>
        <v>1</v>
      </c>
    </row>
    <row r="47" spans="1:8" x14ac:dyDescent="0.35">
      <c r="A47" s="17" t="str">
        <f>Dataset_Rapi!A48</f>
        <v>P46</v>
      </c>
      <c r="B47" s="18">
        <f>Dataset_Rapi!B48</f>
        <v>46</v>
      </c>
      <c r="C47" s="19">
        <f>Dataset_Rapi!C48</f>
        <v>62</v>
      </c>
      <c r="D47" s="20">
        <f>Dataset_Rapi!D48</f>
        <v>3410000</v>
      </c>
      <c r="E47" s="21">
        <f t="shared" si="4"/>
        <v>3375925.8293873994</v>
      </c>
      <c r="F47" s="21">
        <f t="shared" si="5"/>
        <v>3387098.7592835259</v>
      </c>
      <c r="G47" s="21">
        <f t="shared" si="6"/>
        <v>3424733.6837781998</v>
      </c>
      <c r="H47" s="22">
        <f t="shared" si="7"/>
        <v>1</v>
      </c>
    </row>
    <row r="48" spans="1:8" x14ac:dyDescent="0.35">
      <c r="A48" s="17" t="str">
        <f>Dataset_Rapi!A49</f>
        <v>P47</v>
      </c>
      <c r="B48" s="18">
        <f>Dataset_Rapi!B49</f>
        <v>47</v>
      </c>
      <c r="C48" s="19">
        <f>Dataset_Rapi!C49</f>
        <v>64</v>
      </c>
      <c r="D48" s="20">
        <f>Dataset_Rapi!D49</f>
        <v>3520000</v>
      </c>
      <c r="E48" s="21">
        <f t="shared" si="4"/>
        <v>3485738.7173825866</v>
      </c>
      <c r="F48" s="21">
        <f t="shared" si="5"/>
        <v>3495931.3502219976</v>
      </c>
      <c r="G48" s="21">
        <f t="shared" si="6"/>
        <v>3531783.9125744938</v>
      </c>
      <c r="H48" s="22">
        <f t="shared" si="7"/>
        <v>1</v>
      </c>
    </row>
    <row r="49" spans="1:8" x14ac:dyDescent="0.35">
      <c r="A49" s="17" t="str">
        <f>Dataset_Rapi!A50</f>
        <v>P48</v>
      </c>
      <c r="B49" s="18">
        <f>Dataset_Rapi!B50</f>
        <v>48</v>
      </c>
      <c r="C49" s="19">
        <f>Dataset_Rapi!C50</f>
        <v>66</v>
      </c>
      <c r="D49" s="20">
        <f>Dataset_Rapi!D50</f>
        <v>3630000</v>
      </c>
      <c r="E49" s="21">
        <f t="shared" si="4"/>
        <v>3595563.0443930477</v>
      </c>
      <c r="F49" s="21">
        <f t="shared" si="5"/>
        <v>3604834.8097797767</v>
      </c>
      <c r="G49" s="21">
        <f t="shared" si="6"/>
        <v>3639010.0859224065</v>
      </c>
      <c r="H49" s="22">
        <f t="shared" si="7"/>
        <v>1</v>
      </c>
    </row>
    <row r="50" spans="1:8" x14ac:dyDescent="0.35">
      <c r="A50" s="17" t="str">
        <f>Dataset_Rapi!A51</f>
        <v>P49</v>
      </c>
      <c r="B50" s="18">
        <f>Dataset_Rapi!B51</f>
        <v>49</v>
      </c>
      <c r="C50" s="19">
        <f>Dataset_Rapi!C51</f>
        <v>68</v>
      </c>
      <c r="D50" s="20">
        <f>Dataset_Rapi!D51</f>
        <v>3740000</v>
      </c>
      <c r="E50" s="21">
        <f t="shared" si="4"/>
        <v>3705397.793295613</v>
      </c>
      <c r="F50" s="21">
        <f t="shared" si="5"/>
        <v>3713802.903513459</v>
      </c>
      <c r="G50" s="21">
        <f t="shared" si="6"/>
        <v>3746397.0966489925</v>
      </c>
      <c r="H50" s="22">
        <f t="shared" si="7"/>
        <v>1</v>
      </c>
    </row>
    <row r="51" spans="1:8" x14ac:dyDescent="0.35">
      <c r="A51" s="17" t="str">
        <f>Dataset_Rapi!A52</f>
        <v>P50</v>
      </c>
      <c r="B51" s="18">
        <f>Dataset_Rapi!B52</f>
        <v>50</v>
      </c>
      <c r="C51" s="19">
        <f>Dataset_Rapi!C52</f>
        <v>70</v>
      </c>
      <c r="D51" s="20">
        <f>Dataset_Rapi!D52</f>
        <v>3850000</v>
      </c>
      <c r="E51" s="21">
        <f t="shared" si="4"/>
        <v>3815242.0640013129</v>
      </c>
      <c r="F51" s="21">
        <f t="shared" si="5"/>
        <v>3822830.1043206197</v>
      </c>
      <c r="G51" s="21">
        <f t="shared" si="6"/>
        <v>3853931.4999264064</v>
      </c>
      <c r="H51" s="22">
        <f t="shared" si="7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1"/>
  <sheetViews>
    <sheetView tabSelected="1" workbookViewId="0">
      <selection activeCell="J14" sqref="J14"/>
    </sheetView>
  </sheetViews>
  <sheetFormatPr defaultRowHeight="14.5" x14ac:dyDescent="0.35"/>
  <cols>
    <col min="1" max="1" width="3.81640625" bestFit="1" customWidth="1"/>
    <col min="2" max="2" width="8.90625" bestFit="1" customWidth="1"/>
    <col min="3" max="3" width="12.26953125" bestFit="1" customWidth="1"/>
    <col min="4" max="4" width="9.453125" bestFit="1" customWidth="1"/>
    <col min="5" max="7" width="11.81640625" bestFit="1" customWidth="1"/>
    <col min="8" max="8" width="8.26953125" bestFit="1" customWidth="1"/>
    <col min="9" max="9" width="2" style="5" customWidth="1"/>
    <col min="10" max="10" width="35.6328125" bestFit="1" customWidth="1"/>
    <col min="11" max="11" width="8" customWidth="1"/>
    <col min="12" max="12" width="7" customWidth="1"/>
  </cols>
  <sheetData>
    <row r="1" spans="1:12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4"/>
      <c r="J1" s="3" t="s">
        <v>63</v>
      </c>
      <c r="K1" s="3"/>
      <c r="L1" s="3"/>
    </row>
    <row r="2" spans="1:12" x14ac:dyDescent="0.35">
      <c r="A2" s="17" t="str">
        <f>Dataset_Rapi!A3</f>
        <v>P01</v>
      </c>
      <c r="B2" s="18">
        <f>Dataset_Rapi!B3</f>
        <v>1</v>
      </c>
      <c r="C2" s="19">
        <f>Dataset_Rapi!C3</f>
        <v>1</v>
      </c>
      <c r="D2" s="20">
        <f>Dataset_Rapi!D3</f>
        <v>50000</v>
      </c>
      <c r="E2" s="21">
        <f t="shared" ref="E2:E33" si="0">SQRT((B2-$J$2)^2+(C2-$K$2)^2+(D2-$L$2)^2)</f>
        <v>200248.84523262549</v>
      </c>
      <c r="F2" s="21">
        <f t="shared" ref="F2:F33" si="1">SQRT((B2-$J$3)^2+(C2-$K$3)^2+(D2-$L$3)^2)</f>
        <v>500098.99028292391</v>
      </c>
      <c r="G2" s="21">
        <f t="shared" ref="G2:G33" si="2">SQRT((B2-$J$4)^2+(C2-$K$4)^2+(D2-$L$4)^2)</f>
        <v>800561.30320981669</v>
      </c>
      <c r="H2" s="22">
        <f t="shared" ref="H2:H33" si="3">MATCH(MIN(E2:G2),E2:G2,0)</f>
        <v>1</v>
      </c>
      <c r="J2" s="2">
        <v>5</v>
      </c>
      <c r="K2" s="2">
        <v>200000</v>
      </c>
      <c r="L2" s="2">
        <v>40000</v>
      </c>
    </row>
    <row r="3" spans="1:12" x14ac:dyDescent="0.35">
      <c r="A3" s="17" t="str">
        <f>Dataset_Rapi!A4</f>
        <v>P02</v>
      </c>
      <c r="B3" s="18">
        <f>Dataset_Rapi!B4</f>
        <v>2</v>
      </c>
      <c r="C3" s="19">
        <f>Dataset_Rapi!C4</f>
        <v>2</v>
      </c>
      <c r="D3" s="20">
        <f>Dataset_Rapi!D4</f>
        <v>90000</v>
      </c>
      <c r="E3" s="21">
        <f t="shared" si="0"/>
        <v>206153.34101828182</v>
      </c>
      <c r="F3" s="21">
        <f t="shared" si="1"/>
        <v>500897.19510893652</v>
      </c>
      <c r="G3" s="21">
        <f t="shared" si="2"/>
        <v>800060.49782063358</v>
      </c>
      <c r="H3" s="22">
        <f t="shared" si="3"/>
        <v>1</v>
      </c>
      <c r="J3" s="2">
        <v>10</v>
      </c>
      <c r="K3" s="2">
        <v>500000</v>
      </c>
      <c r="L3" s="2">
        <v>60000</v>
      </c>
    </row>
    <row r="4" spans="1:12" x14ac:dyDescent="0.35">
      <c r="A4" s="17" t="str">
        <f>Dataset_Rapi!A5</f>
        <v>P03</v>
      </c>
      <c r="B4" s="18">
        <f>Dataset_Rapi!B5</f>
        <v>3</v>
      </c>
      <c r="C4" s="19">
        <f>Dataset_Rapi!C5</f>
        <v>2</v>
      </c>
      <c r="D4" s="20">
        <f>Dataset_Rapi!D5</f>
        <v>100000</v>
      </c>
      <c r="E4" s="21">
        <f t="shared" si="0"/>
        <v>208804.21453600979</v>
      </c>
      <c r="F4" s="21">
        <f t="shared" si="1"/>
        <v>501595.45457769051</v>
      </c>
      <c r="G4" s="21">
        <f t="shared" si="2"/>
        <v>800247.96166438307</v>
      </c>
      <c r="H4" s="22">
        <f t="shared" si="3"/>
        <v>1</v>
      </c>
      <c r="J4" s="2">
        <v>15</v>
      </c>
      <c r="K4" s="2">
        <v>800000</v>
      </c>
      <c r="L4" s="2">
        <v>80000</v>
      </c>
    </row>
    <row r="5" spans="1:12" x14ac:dyDescent="0.35">
      <c r="A5" s="17" t="str">
        <f>Dataset_Rapi!A6</f>
        <v>P04</v>
      </c>
      <c r="B5" s="18">
        <f>Dataset_Rapi!B6</f>
        <v>4</v>
      </c>
      <c r="C5" s="19">
        <f>Dataset_Rapi!C6</f>
        <v>3</v>
      </c>
      <c r="D5" s="20">
        <f>Dataset_Rapi!D6</f>
        <v>135000</v>
      </c>
      <c r="E5" s="21">
        <f t="shared" si="0"/>
        <v>221413.18842833189</v>
      </c>
      <c r="F5" s="21">
        <f t="shared" si="1"/>
        <v>505590.74363065627</v>
      </c>
      <c r="G5" s="21">
        <f t="shared" si="2"/>
        <v>801885.40336509433</v>
      </c>
      <c r="H5" s="22">
        <f t="shared" si="3"/>
        <v>1</v>
      </c>
      <c r="J5" s="2"/>
      <c r="K5" s="2"/>
      <c r="L5" s="2"/>
    </row>
    <row r="6" spans="1:12" x14ac:dyDescent="0.35">
      <c r="A6" s="17" t="str">
        <f>Dataset_Rapi!A7</f>
        <v>P05</v>
      </c>
      <c r="B6" s="18">
        <f>Dataset_Rapi!B7</f>
        <v>5</v>
      </c>
      <c r="C6" s="19">
        <f>Dataset_Rapi!C7</f>
        <v>3</v>
      </c>
      <c r="D6" s="20">
        <f>Dataset_Rapi!D7</f>
        <v>150000</v>
      </c>
      <c r="E6" s="21">
        <f t="shared" si="0"/>
        <v>228251.61556711927</v>
      </c>
      <c r="F6" s="21">
        <f t="shared" si="1"/>
        <v>508032.47931013227</v>
      </c>
      <c r="G6" s="21">
        <f t="shared" si="2"/>
        <v>803053.67199770652</v>
      </c>
      <c r="H6" s="22">
        <f t="shared" si="3"/>
        <v>1</v>
      </c>
      <c r="J6" s="2" t="s">
        <v>66</v>
      </c>
      <c r="K6" s="2"/>
      <c r="L6" s="2"/>
    </row>
    <row r="7" spans="1:12" x14ac:dyDescent="0.35">
      <c r="A7" s="17" t="str">
        <f>Dataset_Rapi!A8</f>
        <v>P06</v>
      </c>
      <c r="B7" s="18">
        <f>Dataset_Rapi!B8</f>
        <v>6</v>
      </c>
      <c r="C7" s="19">
        <f>Dataset_Rapi!C8</f>
        <v>4</v>
      </c>
      <c r="D7" s="20">
        <f>Dataset_Rapi!D8</f>
        <v>180000</v>
      </c>
      <c r="E7" s="21">
        <f t="shared" si="0"/>
        <v>244127.83539981671</v>
      </c>
      <c r="F7" s="21">
        <f t="shared" si="1"/>
        <v>514194.5157544954</v>
      </c>
      <c r="G7" s="21">
        <f t="shared" si="2"/>
        <v>806221.80576873512</v>
      </c>
      <c r="H7" s="22">
        <f t="shared" si="3"/>
        <v>1</v>
      </c>
    </row>
    <row r="8" spans="1:12" x14ac:dyDescent="0.35">
      <c r="A8" s="17" t="str">
        <f>Dataset_Rapi!A9</f>
        <v>P07</v>
      </c>
      <c r="B8" s="18">
        <f>Dataset_Rapi!B9</f>
        <v>7</v>
      </c>
      <c r="C8" s="19">
        <f>Dataset_Rapi!C9</f>
        <v>4</v>
      </c>
      <c r="D8" s="20">
        <f>Dataset_Rapi!D9</f>
        <v>200000</v>
      </c>
      <c r="E8" s="21">
        <f t="shared" si="0"/>
        <v>256121.84604207429</v>
      </c>
      <c r="F8" s="21">
        <f t="shared" si="1"/>
        <v>519226.34758359479</v>
      </c>
      <c r="G8" s="21">
        <f t="shared" si="2"/>
        <v>808945.98094063113</v>
      </c>
      <c r="H8" s="22">
        <f t="shared" si="3"/>
        <v>1</v>
      </c>
    </row>
    <row r="9" spans="1:12" x14ac:dyDescent="0.35">
      <c r="A9" s="17" t="str">
        <f>Dataset_Rapi!A10</f>
        <v>P08</v>
      </c>
      <c r="B9" s="18">
        <f>Dataset_Rapi!B10</f>
        <v>8</v>
      </c>
      <c r="C9" s="19">
        <f>Dataset_Rapi!C10</f>
        <v>5</v>
      </c>
      <c r="D9" s="20">
        <f>Dataset_Rapi!D10</f>
        <v>225000</v>
      </c>
      <c r="E9" s="21">
        <f t="shared" si="0"/>
        <v>272438.98405698111</v>
      </c>
      <c r="F9" s="21">
        <f t="shared" si="1"/>
        <v>526516.85635789472</v>
      </c>
      <c r="G9" s="21">
        <f t="shared" si="2"/>
        <v>813029.51980478549</v>
      </c>
      <c r="H9" s="22">
        <f t="shared" si="3"/>
        <v>1</v>
      </c>
    </row>
    <row r="10" spans="1:12" x14ac:dyDescent="0.35">
      <c r="A10" s="17" t="str">
        <f>Dataset_Rapi!A11</f>
        <v>P09</v>
      </c>
      <c r="B10" s="18">
        <f>Dataset_Rapi!B11</f>
        <v>9</v>
      </c>
      <c r="C10" s="19">
        <f>Dataset_Rapi!C11</f>
        <v>5</v>
      </c>
      <c r="D10" s="20">
        <f>Dataset_Rapi!D11</f>
        <v>250000</v>
      </c>
      <c r="E10" s="21">
        <f t="shared" si="0"/>
        <v>289996.55177432712</v>
      </c>
      <c r="F10" s="21">
        <f t="shared" si="1"/>
        <v>534878.49089863396</v>
      </c>
      <c r="G10" s="21">
        <f t="shared" si="2"/>
        <v>817858.17845210794</v>
      </c>
      <c r="H10" s="22">
        <f t="shared" si="3"/>
        <v>1</v>
      </c>
    </row>
    <row r="11" spans="1:12" x14ac:dyDescent="0.35">
      <c r="A11" s="17" t="str">
        <f>Dataset_Rapi!A12</f>
        <v>P10</v>
      </c>
      <c r="B11" s="18">
        <f>Dataset_Rapi!B12</f>
        <v>10</v>
      </c>
      <c r="C11" s="19">
        <f>Dataset_Rapi!C12</f>
        <v>6</v>
      </c>
      <c r="D11" s="20">
        <f>Dataset_Rapi!D12</f>
        <v>300000</v>
      </c>
      <c r="E11" s="21">
        <f t="shared" si="0"/>
        <v>328020.73114515183</v>
      </c>
      <c r="F11" s="21">
        <f t="shared" si="1"/>
        <v>554611.57582221448</v>
      </c>
      <c r="G11" s="21">
        <f t="shared" si="2"/>
        <v>829692.95529189589</v>
      </c>
      <c r="H11" s="22">
        <f t="shared" si="3"/>
        <v>1</v>
      </c>
    </row>
    <row r="12" spans="1:12" x14ac:dyDescent="0.35">
      <c r="A12" s="17" t="str">
        <f>Dataset_Rapi!A13</f>
        <v>P11</v>
      </c>
      <c r="B12" s="18">
        <f>Dataset_Rapi!B13</f>
        <v>11</v>
      </c>
      <c r="C12" s="19">
        <f>Dataset_Rapi!C13</f>
        <v>6</v>
      </c>
      <c r="D12" s="20">
        <f>Dataset_Rapi!D13</f>
        <v>330000</v>
      </c>
      <c r="E12" s="21">
        <f t="shared" si="0"/>
        <v>352274.89276415942</v>
      </c>
      <c r="F12" s="21">
        <f t="shared" si="1"/>
        <v>568237.62638266047</v>
      </c>
      <c r="G12" s="21">
        <f t="shared" si="2"/>
        <v>838147.00384359783</v>
      </c>
      <c r="H12" s="22">
        <f t="shared" si="3"/>
        <v>1</v>
      </c>
    </row>
    <row r="13" spans="1:12" x14ac:dyDescent="0.35">
      <c r="A13" s="17" t="str">
        <f>Dataset_Rapi!A14</f>
        <v>P12</v>
      </c>
      <c r="B13" s="18">
        <f>Dataset_Rapi!B14</f>
        <v>12</v>
      </c>
      <c r="C13" s="19">
        <f>Dataset_Rapi!C14</f>
        <v>7</v>
      </c>
      <c r="D13" s="20">
        <f>Dataset_Rapi!D14</f>
        <v>385000</v>
      </c>
      <c r="E13" s="21">
        <f t="shared" si="0"/>
        <v>398775.8770261812</v>
      </c>
      <c r="F13" s="21">
        <f t="shared" si="1"/>
        <v>596337.15300407039</v>
      </c>
      <c r="G13" s="21">
        <f t="shared" si="2"/>
        <v>856162.25101203797</v>
      </c>
      <c r="H13" s="22">
        <f t="shared" si="3"/>
        <v>1</v>
      </c>
    </row>
    <row r="14" spans="1:12" x14ac:dyDescent="0.35">
      <c r="A14" s="17" t="str">
        <f>Dataset_Rapi!A15</f>
        <v>P13</v>
      </c>
      <c r="B14" s="18">
        <f>Dataset_Rapi!B15</f>
        <v>13</v>
      </c>
      <c r="C14" s="19">
        <f>Dataset_Rapi!C15</f>
        <v>8</v>
      </c>
      <c r="D14" s="20">
        <f>Dataset_Rapi!D15</f>
        <v>440000</v>
      </c>
      <c r="E14" s="21">
        <f t="shared" si="0"/>
        <v>447210.0179199925</v>
      </c>
      <c r="F14" s="21">
        <f t="shared" si="1"/>
        <v>628006.36945257173</v>
      </c>
      <c r="G14" s="21">
        <f t="shared" si="2"/>
        <v>877261.19261483348</v>
      </c>
      <c r="H14" s="22">
        <f t="shared" si="3"/>
        <v>1</v>
      </c>
    </row>
    <row r="15" spans="1:12" x14ac:dyDescent="0.35">
      <c r="A15" s="17" t="str">
        <f>Dataset_Rapi!A16</f>
        <v>P14</v>
      </c>
      <c r="B15" s="18">
        <f>Dataset_Rapi!B16</f>
        <v>14</v>
      </c>
      <c r="C15" s="19">
        <f>Dataset_Rapi!C16</f>
        <v>9</v>
      </c>
      <c r="D15" s="20">
        <f>Dataset_Rapi!D16</f>
        <v>495000</v>
      </c>
      <c r="E15" s="21">
        <f t="shared" si="0"/>
        <v>497012.47485551104</v>
      </c>
      <c r="F15" s="21">
        <f t="shared" si="1"/>
        <v>662733.73242728482</v>
      </c>
      <c r="G15" s="21">
        <f t="shared" si="2"/>
        <v>901227.27437755675</v>
      </c>
      <c r="H15" s="22">
        <f t="shared" si="3"/>
        <v>1</v>
      </c>
    </row>
    <row r="16" spans="1:12" x14ac:dyDescent="0.35">
      <c r="A16" s="17" t="str">
        <f>Dataset_Rapi!A17</f>
        <v>P15</v>
      </c>
      <c r="B16" s="18">
        <f>Dataset_Rapi!B17</f>
        <v>15</v>
      </c>
      <c r="C16" s="19">
        <f>Dataset_Rapi!C17</f>
        <v>10</v>
      </c>
      <c r="D16" s="20">
        <f>Dataset_Rapi!D17</f>
        <v>550000</v>
      </c>
      <c r="E16" s="21">
        <f t="shared" si="0"/>
        <v>547810.18628718471</v>
      </c>
      <c r="F16" s="21">
        <f t="shared" si="1"/>
        <v>700064.28285193921</v>
      </c>
      <c r="G16" s="21">
        <f t="shared" si="2"/>
        <v>927838.34804345097</v>
      </c>
      <c r="H16" s="22">
        <f t="shared" si="3"/>
        <v>1</v>
      </c>
    </row>
    <row r="17" spans="1:8" x14ac:dyDescent="0.35">
      <c r="A17" s="17" t="str">
        <f>Dataset_Rapi!A18</f>
        <v>P16</v>
      </c>
      <c r="B17" s="18">
        <f>Dataset_Rapi!B18</f>
        <v>16</v>
      </c>
      <c r="C17" s="19">
        <f>Dataset_Rapi!C18</f>
        <v>11</v>
      </c>
      <c r="D17" s="20">
        <f>Dataset_Rapi!D18</f>
        <v>605000</v>
      </c>
      <c r="E17" s="21">
        <f t="shared" si="0"/>
        <v>599350.1482789506</v>
      </c>
      <c r="F17" s="21">
        <f t="shared" si="1"/>
        <v>739603.94817564357</v>
      </c>
      <c r="G17" s="21">
        <f t="shared" si="2"/>
        <v>956873.76394276798</v>
      </c>
      <c r="H17" s="22">
        <f t="shared" si="3"/>
        <v>1</v>
      </c>
    </row>
    <row r="18" spans="1:8" x14ac:dyDescent="0.35">
      <c r="A18" s="17" t="str">
        <f>Dataset_Rapi!A19</f>
        <v>P17</v>
      </c>
      <c r="B18" s="18">
        <f>Dataset_Rapi!B19</f>
        <v>17</v>
      </c>
      <c r="C18" s="19">
        <f>Dataset_Rapi!C19</f>
        <v>12</v>
      </c>
      <c r="D18" s="20">
        <f>Dataset_Rapi!D19</f>
        <v>660000</v>
      </c>
      <c r="E18" s="21">
        <f t="shared" si="0"/>
        <v>651456.21517336066</v>
      </c>
      <c r="F18" s="21">
        <f t="shared" si="1"/>
        <v>781017.28546364454</v>
      </c>
      <c r="G18" s="21">
        <f t="shared" si="2"/>
        <v>988119.83086465788</v>
      </c>
      <c r="H18" s="22">
        <f t="shared" si="3"/>
        <v>1</v>
      </c>
    </row>
    <row r="19" spans="1:8" x14ac:dyDescent="0.35">
      <c r="A19" s="17" t="str">
        <f>Dataset_Rapi!A20</f>
        <v>P18</v>
      </c>
      <c r="B19" s="18">
        <f>Dataset_Rapi!B20</f>
        <v>18</v>
      </c>
      <c r="C19" s="19">
        <f>Dataset_Rapi!C20</f>
        <v>13</v>
      </c>
      <c r="D19" s="20">
        <f>Dataset_Rapi!D20</f>
        <v>715000</v>
      </c>
      <c r="E19" s="21">
        <f t="shared" si="0"/>
        <v>704002.69909851905</v>
      </c>
      <c r="F19" s="21">
        <f t="shared" si="1"/>
        <v>824021.84451202501</v>
      </c>
      <c r="G19" s="21">
        <f t="shared" si="2"/>
        <v>1021373.6829280456</v>
      </c>
      <c r="H19" s="22">
        <f t="shared" si="3"/>
        <v>1</v>
      </c>
    </row>
    <row r="20" spans="1:8" x14ac:dyDescent="0.35">
      <c r="A20" s="17" t="str">
        <f>Dataset_Rapi!A21</f>
        <v>P19</v>
      </c>
      <c r="B20" s="18">
        <f>Dataset_Rapi!B21</f>
        <v>19</v>
      </c>
      <c r="C20" s="19">
        <f>Dataset_Rapi!C21</f>
        <v>14</v>
      </c>
      <c r="D20" s="20">
        <f>Dataset_Rapi!D21</f>
        <v>770000</v>
      </c>
      <c r="E20" s="21">
        <f t="shared" si="0"/>
        <v>756897.87976450298</v>
      </c>
      <c r="F20" s="21">
        <f t="shared" si="1"/>
        <v>868381.25283598795</v>
      </c>
      <c r="G20" s="21">
        <f t="shared" si="2"/>
        <v>1056445.7393600487</v>
      </c>
      <c r="H20" s="22">
        <f t="shared" si="3"/>
        <v>1</v>
      </c>
    </row>
    <row r="21" spans="1:8" x14ac:dyDescent="0.35">
      <c r="A21" s="17" t="str">
        <f>Dataset_Rapi!A22</f>
        <v>P20</v>
      </c>
      <c r="B21" s="18">
        <f>Dataset_Rapi!B22</f>
        <v>20</v>
      </c>
      <c r="C21" s="19">
        <f>Dataset_Rapi!C22</f>
        <v>15</v>
      </c>
      <c r="D21" s="20">
        <f>Dataset_Rapi!D22</f>
        <v>825000</v>
      </c>
      <c r="E21" s="21">
        <f t="shared" si="0"/>
        <v>810073.45373737556</v>
      </c>
      <c r="F21" s="21">
        <f t="shared" si="1"/>
        <v>913898.2439664714</v>
      </c>
      <c r="G21" s="21">
        <f t="shared" si="2"/>
        <v>1093161.0129573776</v>
      </c>
      <c r="H21" s="22">
        <f t="shared" si="3"/>
        <v>1</v>
      </c>
    </row>
    <row r="22" spans="1:8" x14ac:dyDescent="0.35">
      <c r="A22" s="17" t="str">
        <f>Dataset_Rapi!A23</f>
        <v>P21</v>
      </c>
      <c r="B22" s="18">
        <f>Dataset_Rapi!B23</f>
        <v>21</v>
      </c>
      <c r="C22" s="19">
        <f>Dataset_Rapi!C23</f>
        <v>16</v>
      </c>
      <c r="D22" s="20">
        <f>Dataset_Rapi!D23</f>
        <v>880000</v>
      </c>
      <c r="E22" s="21">
        <f t="shared" si="0"/>
        <v>863477.62015700212</v>
      </c>
      <c r="F22" s="21">
        <f t="shared" si="1"/>
        <v>960408.24672479776</v>
      </c>
      <c r="G22" s="21">
        <f t="shared" si="2"/>
        <v>1131359.5362624563</v>
      </c>
      <c r="H22" s="22">
        <f t="shared" si="3"/>
        <v>1</v>
      </c>
    </row>
    <row r="23" spans="1:8" x14ac:dyDescent="0.35">
      <c r="A23" s="17" t="str">
        <f>Dataset_Rapi!A24</f>
        <v>P22</v>
      </c>
      <c r="B23" s="18">
        <f>Dataset_Rapi!B24</f>
        <v>22</v>
      </c>
      <c r="C23" s="19">
        <f>Dataset_Rapi!C24</f>
        <v>17</v>
      </c>
      <c r="D23" s="20">
        <f>Dataset_Rapi!D24</f>
        <v>935000</v>
      </c>
      <c r="E23" s="21">
        <f t="shared" si="0"/>
        <v>917070.44471948827</v>
      </c>
      <c r="F23" s="21">
        <f t="shared" si="1"/>
        <v>1007773.7843549018</v>
      </c>
      <c r="G23" s="21">
        <f t="shared" si="2"/>
        <v>1170896.1526702528</v>
      </c>
      <c r="H23" s="22">
        <f t="shared" si="3"/>
        <v>1</v>
      </c>
    </row>
    <row r="24" spans="1:8" x14ac:dyDescent="0.35">
      <c r="A24" s="17" t="str">
        <f>Dataset_Rapi!A25</f>
        <v>P23</v>
      </c>
      <c r="B24" s="18">
        <f>Dataset_Rapi!B25</f>
        <v>23</v>
      </c>
      <c r="C24" s="19">
        <f>Dataset_Rapi!C25</f>
        <v>18</v>
      </c>
      <c r="D24" s="20">
        <f>Dataset_Rapi!D25</f>
        <v>990000</v>
      </c>
      <c r="E24" s="21">
        <f t="shared" si="0"/>
        <v>970820.68408537738</v>
      </c>
      <c r="F24" s="21">
        <f t="shared" si="1"/>
        <v>1055879.7282328135</v>
      </c>
      <c r="G24" s="21">
        <f t="shared" si="2"/>
        <v>1211639.8806526633</v>
      </c>
      <c r="H24" s="22">
        <f t="shared" si="3"/>
        <v>1</v>
      </c>
    </row>
    <row r="25" spans="1:8" x14ac:dyDescent="0.35">
      <c r="A25" s="17" t="str">
        <f>Dataset_Rapi!A26</f>
        <v>P24</v>
      </c>
      <c r="B25" s="18">
        <f>Dataset_Rapi!B26</f>
        <v>24</v>
      </c>
      <c r="C25" s="19">
        <f>Dataset_Rapi!C26</f>
        <v>19</v>
      </c>
      <c r="D25" s="20">
        <f>Dataset_Rapi!D26</f>
        <v>1045000</v>
      </c>
      <c r="E25" s="21">
        <f t="shared" si="0"/>
        <v>1024703.5672437176</v>
      </c>
      <c r="F25" s="21">
        <f t="shared" si="1"/>
        <v>1104629.3498531533</v>
      </c>
      <c r="G25" s="21">
        <f t="shared" si="2"/>
        <v>1253473.015442295</v>
      </c>
      <c r="H25" s="22">
        <f t="shared" si="3"/>
        <v>1</v>
      </c>
    </row>
    <row r="26" spans="1:8" x14ac:dyDescent="0.35">
      <c r="A26" s="17" t="str">
        <f>Dataset_Rapi!A27</f>
        <v>P25</v>
      </c>
      <c r="B26" s="18">
        <f>Dataset_Rapi!B27</f>
        <v>25</v>
      </c>
      <c r="C26" s="19">
        <f>Dataset_Rapi!C27</f>
        <v>20</v>
      </c>
      <c r="D26" s="20">
        <f>Dataset_Rapi!D27</f>
        <v>1100000</v>
      </c>
      <c r="E26" s="21">
        <f t="shared" si="0"/>
        <v>1078699.2170202034</v>
      </c>
      <c r="F26" s="21">
        <f t="shared" si="1"/>
        <v>1153941.0732897066</v>
      </c>
      <c r="G26" s="21">
        <f t="shared" si="2"/>
        <v>1296290.0911832969</v>
      </c>
      <c r="H26" s="22">
        <f t="shared" si="3"/>
        <v>1</v>
      </c>
    </row>
    <row r="27" spans="1:8" x14ac:dyDescent="0.35">
      <c r="A27" s="17" t="str">
        <f>Dataset_Rapi!A28</f>
        <v>P26</v>
      </c>
      <c r="B27" s="18">
        <f>Dataset_Rapi!B28</f>
        <v>26</v>
      </c>
      <c r="C27" s="19">
        <f>Dataset_Rapi!C28</f>
        <v>22</v>
      </c>
      <c r="D27" s="20">
        <f>Dataset_Rapi!D28</f>
        <v>1210000</v>
      </c>
      <c r="E27" s="21">
        <f t="shared" si="0"/>
        <v>1186967.2282438972</v>
      </c>
      <c r="F27" s="21">
        <f t="shared" si="1"/>
        <v>1253984.8486883724</v>
      </c>
      <c r="G27" s="21">
        <f t="shared" si="2"/>
        <v>1384508.8662067137</v>
      </c>
      <c r="H27" s="22">
        <f t="shared" si="3"/>
        <v>1</v>
      </c>
    </row>
    <row r="28" spans="1:8" x14ac:dyDescent="0.35">
      <c r="A28" s="17" t="str">
        <f>Dataset_Rapi!A29</f>
        <v>P27</v>
      </c>
      <c r="B28" s="18">
        <f>Dataset_Rapi!B29</f>
        <v>27</v>
      </c>
      <c r="C28" s="19">
        <f>Dataset_Rapi!C29</f>
        <v>24</v>
      </c>
      <c r="D28" s="20">
        <f>Dataset_Rapi!D29</f>
        <v>1320000</v>
      </c>
      <c r="E28" s="21">
        <f t="shared" si="0"/>
        <v>1295527.074614807</v>
      </c>
      <c r="F28" s="21">
        <f t="shared" si="1"/>
        <v>1355572.2042241055</v>
      </c>
      <c r="G28" s="21">
        <f t="shared" si="2"/>
        <v>1475656.328797461</v>
      </c>
      <c r="H28" s="22">
        <f t="shared" si="3"/>
        <v>1</v>
      </c>
    </row>
    <row r="29" spans="1:8" x14ac:dyDescent="0.35">
      <c r="A29" s="17" t="str">
        <f>Dataset_Rapi!A30</f>
        <v>P28</v>
      </c>
      <c r="B29" s="18">
        <f>Dataset_Rapi!B30</f>
        <v>28</v>
      </c>
      <c r="C29" s="19">
        <f>Dataset_Rapi!C30</f>
        <v>26</v>
      </c>
      <c r="D29" s="20">
        <f>Dataset_Rapi!D30</f>
        <v>1430000</v>
      </c>
      <c r="E29" s="21">
        <f t="shared" si="0"/>
        <v>1404311.077078366</v>
      </c>
      <c r="F29" s="21">
        <f t="shared" si="1"/>
        <v>1458380.6091003816</v>
      </c>
      <c r="G29" s="21">
        <f t="shared" si="2"/>
        <v>1569222.227998635</v>
      </c>
      <c r="H29" s="22">
        <f t="shared" si="3"/>
        <v>1</v>
      </c>
    </row>
    <row r="30" spans="1:8" x14ac:dyDescent="0.35">
      <c r="A30" s="17" t="str">
        <f>Dataset_Rapi!A31</f>
        <v>P29</v>
      </c>
      <c r="B30" s="18">
        <f>Dataset_Rapi!B31</f>
        <v>29</v>
      </c>
      <c r="C30" s="19">
        <f>Dataset_Rapi!C31</f>
        <v>28</v>
      </c>
      <c r="D30" s="20">
        <f>Dataset_Rapi!D31</f>
        <v>1540000</v>
      </c>
      <c r="E30" s="21">
        <f t="shared" si="0"/>
        <v>1513270.8949028261</v>
      </c>
      <c r="F30" s="21">
        <f t="shared" si="1"/>
        <v>1562169.0053080043</v>
      </c>
      <c r="G30" s="21">
        <f t="shared" si="2"/>
        <v>1664798.8470022436</v>
      </c>
      <c r="H30" s="22">
        <f t="shared" si="3"/>
        <v>1</v>
      </c>
    </row>
    <row r="31" spans="1:8" x14ac:dyDescent="0.35">
      <c r="A31" s="17" t="str">
        <f>Dataset_Rapi!A32</f>
        <v>P30</v>
      </c>
      <c r="B31" s="18">
        <f>Dataset_Rapi!B32</f>
        <v>30</v>
      </c>
      <c r="C31" s="19">
        <f>Dataset_Rapi!C32</f>
        <v>30</v>
      </c>
      <c r="D31" s="20">
        <f>Dataset_Rapi!D32</f>
        <v>1650000</v>
      </c>
      <c r="E31" s="21">
        <f t="shared" si="0"/>
        <v>1622371.1047491569</v>
      </c>
      <c r="F31" s="21">
        <f t="shared" si="1"/>
        <v>1666754.3314178009</v>
      </c>
      <c r="G31" s="21">
        <f t="shared" si="2"/>
        <v>1762059.0231672151</v>
      </c>
      <c r="H31" s="22">
        <f t="shared" si="3"/>
        <v>1</v>
      </c>
    </row>
    <row r="32" spans="1:8" x14ac:dyDescent="0.35">
      <c r="A32" s="17" t="str">
        <f>Dataset_Rapi!A33</f>
        <v>P31</v>
      </c>
      <c r="B32" s="18">
        <f>Dataset_Rapi!B33</f>
        <v>31</v>
      </c>
      <c r="C32" s="19">
        <f>Dataset_Rapi!C33</f>
        <v>32</v>
      </c>
      <c r="D32" s="20">
        <f>Dataset_Rapi!D33</f>
        <v>1760000</v>
      </c>
      <c r="E32" s="21">
        <f t="shared" si="0"/>
        <v>1731585.1702125426</v>
      </c>
      <c r="F32" s="21">
        <f t="shared" si="1"/>
        <v>1771995.4857349384</v>
      </c>
      <c r="G32" s="21">
        <f t="shared" si="2"/>
        <v>1860738.7783565968</v>
      </c>
      <c r="H32" s="22">
        <f t="shared" si="3"/>
        <v>1</v>
      </c>
    </row>
    <row r="33" spans="1:8" x14ac:dyDescent="0.35">
      <c r="A33" s="17" t="str">
        <f>Dataset_Rapi!A34</f>
        <v>P32</v>
      </c>
      <c r="B33" s="18">
        <f>Dataset_Rapi!B34</f>
        <v>32</v>
      </c>
      <c r="C33" s="19">
        <f>Dataset_Rapi!C34</f>
        <v>34</v>
      </c>
      <c r="D33" s="20">
        <f>Dataset_Rapi!D34</f>
        <v>1870000</v>
      </c>
      <c r="E33" s="21">
        <f t="shared" si="0"/>
        <v>1840892.8273761622</v>
      </c>
      <c r="F33" s="21">
        <f t="shared" si="1"/>
        <v>1877782.2029298285</v>
      </c>
      <c r="G33" s="21">
        <f t="shared" si="2"/>
        <v>1960623.7786594857</v>
      </c>
      <c r="H33" s="22">
        <f t="shared" si="3"/>
        <v>1</v>
      </c>
    </row>
    <row r="34" spans="1:8" x14ac:dyDescent="0.35">
      <c r="A34" s="17" t="str">
        <f>Dataset_Rapi!A35</f>
        <v>P33</v>
      </c>
      <c r="B34" s="18">
        <f>Dataset_Rapi!B35</f>
        <v>33</v>
      </c>
      <c r="C34" s="19">
        <f>Dataset_Rapi!C35</f>
        <v>36</v>
      </c>
      <c r="D34" s="20">
        <f>Dataset_Rapi!D35</f>
        <v>1980000</v>
      </c>
      <c r="E34" s="21">
        <f t="shared" ref="E34:E65" si="4">SQRT((B34-$J$2)^2+(C34-$K$2)^2+(D34-$L$2)^2)</f>
        <v>1950278.3396428316</v>
      </c>
      <c r="F34" s="21">
        <f t="shared" ref="F34:F51" si="5">SQRT((B34-$J$3)^2+(C34-$K$3)^2+(D34-$L$3)^2)</f>
        <v>1984027.2180151662</v>
      </c>
      <c r="G34" s="21">
        <f t="shared" ref="G34:G51" si="6">SQRT((B34-$J$4)^2+(C34-$K$4)^2+(D34-$L$4)^2)</f>
        <v>2061538.8431024044</v>
      </c>
      <c r="H34" s="22">
        <f t="shared" ref="H34:H65" si="7">MATCH(MIN(E34:G34),E34:G34,0)</f>
        <v>1</v>
      </c>
    </row>
    <row r="35" spans="1:8" x14ac:dyDescent="0.35">
      <c r="A35" s="17" t="str">
        <f>Dataset_Rapi!A36</f>
        <v>P34</v>
      </c>
      <c r="B35" s="18">
        <f>Dataset_Rapi!B36</f>
        <v>34</v>
      </c>
      <c r="C35" s="19">
        <f>Dataset_Rapi!C36</f>
        <v>38</v>
      </c>
      <c r="D35" s="20">
        <f>Dataset_Rapi!D36</f>
        <v>2090000</v>
      </c>
      <c r="E35" s="21">
        <f t="shared" si="4"/>
        <v>2059729.3031573349</v>
      </c>
      <c r="F35" s="21">
        <f t="shared" si="5"/>
        <v>2090660.6616139312</v>
      </c>
      <c r="G35" s="21">
        <f t="shared" si="6"/>
        <v>2163339.8257798059</v>
      </c>
      <c r="H35" s="22">
        <f t="shared" si="7"/>
        <v>1</v>
      </c>
    </row>
    <row r="36" spans="1:8" x14ac:dyDescent="0.35">
      <c r="A36" s="17" t="str">
        <f>Dataset_Rapi!A37</f>
        <v>P35</v>
      </c>
      <c r="B36" s="18">
        <f>Dataset_Rapi!B37</f>
        <v>35</v>
      </c>
      <c r="C36" s="19">
        <f>Dataset_Rapi!C37</f>
        <v>40</v>
      </c>
      <c r="D36" s="20">
        <f>Dataset_Rapi!D37</f>
        <v>2200000</v>
      </c>
      <c r="E36" s="21">
        <f t="shared" si="4"/>
        <v>2169235.8107176824</v>
      </c>
      <c r="F36" s="21">
        <f t="shared" si="5"/>
        <v>2197625.9923437838</v>
      </c>
      <c r="G36" s="21">
        <f t="shared" si="6"/>
        <v>2265907.3242301857</v>
      </c>
      <c r="H36" s="22">
        <f t="shared" si="7"/>
        <v>1</v>
      </c>
    </row>
    <row r="37" spans="1:8" x14ac:dyDescent="0.35">
      <c r="A37" s="17" t="str">
        <f>Dataset_Rapi!A38</f>
        <v>P36</v>
      </c>
      <c r="B37" s="18">
        <f>Dataset_Rapi!B38</f>
        <v>36</v>
      </c>
      <c r="C37" s="19">
        <f>Dataset_Rapi!C38</f>
        <v>42</v>
      </c>
      <c r="D37" s="20">
        <f>Dataset_Rapi!D38</f>
        <v>2310000</v>
      </c>
      <c r="E37" s="21">
        <f t="shared" si="4"/>
        <v>2278789.8548846054</v>
      </c>
      <c r="F37" s="21">
        <f t="shared" si="5"/>
        <v>2304877.003755298</v>
      </c>
      <c r="G37" s="21">
        <f t="shared" si="6"/>
        <v>2369141.7860071189</v>
      </c>
      <c r="H37" s="22">
        <f t="shared" si="7"/>
        <v>1</v>
      </c>
    </row>
    <row r="38" spans="1:8" x14ac:dyDescent="0.35">
      <c r="A38" s="17" t="str">
        <f>Dataset_Rapi!A39</f>
        <v>P37</v>
      </c>
      <c r="B38" s="18">
        <f>Dataset_Rapi!B39</f>
        <v>37</v>
      </c>
      <c r="C38" s="19">
        <f>Dataset_Rapi!C39</f>
        <v>44</v>
      </c>
      <c r="D38" s="20">
        <f>Dataset_Rapi!D39</f>
        <v>2420000</v>
      </c>
      <c r="E38" s="21">
        <f t="shared" si="4"/>
        <v>2388384.8942245468</v>
      </c>
      <c r="F38" s="21">
        <f t="shared" si="5"/>
        <v>2412375.5931995749</v>
      </c>
      <c r="G38" s="21">
        <f t="shared" si="6"/>
        <v>2472959.6847542822</v>
      </c>
      <c r="H38" s="22">
        <f t="shared" si="7"/>
        <v>1</v>
      </c>
    </row>
    <row r="39" spans="1:8" x14ac:dyDescent="0.35">
      <c r="A39" s="17" t="str">
        <f>Dataset_Rapi!A40</f>
        <v>P38</v>
      </c>
      <c r="B39" s="18">
        <f>Dataset_Rapi!B40</f>
        <v>38</v>
      </c>
      <c r="C39" s="19">
        <f>Dataset_Rapi!C40</f>
        <v>46</v>
      </c>
      <c r="D39" s="20">
        <f>Dataset_Rapi!D40</f>
        <v>2530000</v>
      </c>
      <c r="E39" s="21">
        <f t="shared" si="4"/>
        <v>2498015.5330191604</v>
      </c>
      <c r="F39" s="21">
        <f t="shared" si="5"/>
        <v>2520090.0783305345</v>
      </c>
      <c r="G39" s="21">
        <f t="shared" si="6"/>
        <v>2577290.5157635994</v>
      </c>
      <c r="H39" s="22">
        <f t="shared" si="7"/>
        <v>1</v>
      </c>
    </row>
    <row r="40" spans="1:8" x14ac:dyDescent="0.35">
      <c r="A40" s="17" t="str">
        <f>Dataset_Rapi!A41</f>
        <v>P39</v>
      </c>
      <c r="B40" s="18">
        <f>Dataset_Rapi!B41</f>
        <v>39</v>
      </c>
      <c r="C40" s="19">
        <f>Dataset_Rapi!C41</f>
        <v>48</v>
      </c>
      <c r="D40" s="20">
        <f>Dataset_Rapi!D41</f>
        <v>2640000</v>
      </c>
      <c r="E40" s="21">
        <f t="shared" si="4"/>
        <v>2607677.2813099399</v>
      </c>
      <c r="F40" s="21">
        <f t="shared" si="5"/>
        <v>2627993.9123112517</v>
      </c>
      <c r="G40" s="21">
        <f t="shared" si="6"/>
        <v>2682074.4215774476</v>
      </c>
      <c r="H40" s="22">
        <f t="shared" si="7"/>
        <v>1</v>
      </c>
    </row>
    <row r="41" spans="1:8" x14ac:dyDescent="0.35">
      <c r="A41" s="17" t="str">
        <f>Dataset_Rapi!A42</f>
        <v>P40</v>
      </c>
      <c r="B41" s="18">
        <f>Dataset_Rapi!B42</f>
        <v>40</v>
      </c>
      <c r="C41" s="19">
        <f>Dataset_Rapi!C42</f>
        <v>50</v>
      </c>
      <c r="D41" s="20">
        <f>Dataset_Rapi!D42</f>
        <v>2750000</v>
      </c>
      <c r="E41" s="21">
        <f t="shared" si="4"/>
        <v>2717366.3727449416</v>
      </c>
      <c r="F41" s="21">
        <f t="shared" si="5"/>
        <v>2736064.6928389687</v>
      </c>
      <c r="G41" s="21">
        <f t="shared" si="6"/>
        <v>2787260.3041562159</v>
      </c>
      <c r="H41" s="22">
        <f t="shared" si="7"/>
        <v>1</v>
      </c>
    </row>
    <row r="42" spans="1:8" x14ac:dyDescent="0.35">
      <c r="A42" s="17" t="str">
        <f>Dataset_Rapi!A43</f>
        <v>P41</v>
      </c>
      <c r="B42" s="18">
        <f>Dataset_Rapi!B43</f>
        <v>41</v>
      </c>
      <c r="C42" s="19">
        <f>Dataset_Rapi!C43</f>
        <v>52</v>
      </c>
      <c r="D42" s="20">
        <f>Dataset_Rapi!D43</f>
        <v>2860000</v>
      </c>
      <c r="E42" s="21">
        <f t="shared" si="4"/>
        <v>2827079.6246303357</v>
      </c>
      <c r="F42" s="21">
        <f t="shared" si="5"/>
        <v>2844283.3901819629</v>
      </c>
      <c r="G42" s="21">
        <f t="shared" si="6"/>
        <v>2892804.3147402834</v>
      </c>
      <c r="H42" s="22">
        <f t="shared" si="7"/>
        <v>1</v>
      </c>
    </row>
    <row r="43" spans="1:8" x14ac:dyDescent="0.35">
      <c r="A43" s="17" t="str">
        <f>Dataset_Rapi!A44</f>
        <v>P42</v>
      </c>
      <c r="B43" s="18">
        <f>Dataset_Rapi!B44</f>
        <v>42</v>
      </c>
      <c r="C43" s="19">
        <f>Dataset_Rapi!C44</f>
        <v>54</v>
      </c>
      <c r="D43" s="20">
        <f>Dataset_Rapi!D44</f>
        <v>2970000</v>
      </c>
      <c r="E43" s="21">
        <f t="shared" si="4"/>
        <v>2936814.3292154172</v>
      </c>
      <c r="F43" s="21">
        <f t="shared" si="5"/>
        <v>2952633.7402292211</v>
      </c>
      <c r="G43" s="21">
        <f t="shared" si="6"/>
        <v>2998668.6385202683</v>
      </c>
      <c r="H43" s="22">
        <f t="shared" si="7"/>
        <v>1</v>
      </c>
    </row>
    <row r="44" spans="1:8" x14ac:dyDescent="0.35">
      <c r="A44" s="17" t="str">
        <f>Dataset_Rapi!A45</f>
        <v>P43</v>
      </c>
      <c r="B44" s="18">
        <f>Dataset_Rapi!B45</f>
        <v>43</v>
      </c>
      <c r="C44" s="19">
        <f>Dataset_Rapi!C45</f>
        <v>56</v>
      </c>
      <c r="D44" s="20">
        <f>Dataset_Rapi!D45</f>
        <v>3080000</v>
      </c>
      <c r="E44" s="21">
        <f t="shared" si="4"/>
        <v>3046568.1683789715</v>
      </c>
      <c r="F44" s="21">
        <f t="shared" si="5"/>
        <v>3061101.7631279426</v>
      </c>
      <c r="G44" s="21">
        <f t="shared" si="6"/>
        <v>3104820.5107413214</v>
      </c>
      <c r="H44" s="22">
        <f t="shared" si="7"/>
        <v>1</v>
      </c>
    </row>
    <row r="45" spans="1:8" x14ac:dyDescent="0.35">
      <c r="A45" s="17" t="str">
        <f>Dataset_Rapi!A46</f>
        <v>P44</v>
      </c>
      <c r="B45" s="18">
        <f>Dataset_Rapi!B46</f>
        <v>44</v>
      </c>
      <c r="C45" s="19">
        <f>Dataset_Rapi!C46</f>
        <v>58</v>
      </c>
      <c r="D45" s="20">
        <f>Dataset_Rapi!D46</f>
        <v>3190000</v>
      </c>
      <c r="E45" s="21">
        <f t="shared" si="4"/>
        <v>3156339.1460495815</v>
      </c>
      <c r="F45" s="21">
        <f t="shared" si="5"/>
        <v>3169675.3784133792</v>
      </c>
      <c r="G45" s="21">
        <f t="shared" si="6"/>
        <v>3211231.4155484028</v>
      </c>
      <c r="H45" s="22">
        <f t="shared" si="7"/>
        <v>1</v>
      </c>
    </row>
    <row r="46" spans="1:8" x14ac:dyDescent="0.35">
      <c r="A46" s="17" t="str">
        <f>Dataset_Rapi!A47</f>
        <v>P45</v>
      </c>
      <c r="B46" s="18">
        <f>Dataset_Rapi!B47</f>
        <v>45</v>
      </c>
      <c r="C46" s="19">
        <f>Dataset_Rapi!C47</f>
        <v>60</v>
      </c>
      <c r="D46" s="20">
        <f>Dataset_Rapi!D47</f>
        <v>3300000</v>
      </c>
      <c r="E46" s="21">
        <f t="shared" si="4"/>
        <v>3266125.5342071592</v>
      </c>
      <c r="F46" s="21">
        <f t="shared" si="5"/>
        <v>3278344.0949395476</v>
      </c>
      <c r="G46" s="21">
        <f t="shared" si="6"/>
        <v>3317876.4299623938</v>
      </c>
      <c r="H46" s="22">
        <f t="shared" si="7"/>
        <v>1</v>
      </c>
    </row>
    <row r="47" spans="1:8" x14ac:dyDescent="0.35">
      <c r="A47" s="17" t="str">
        <f>Dataset_Rapi!A48</f>
        <v>P46</v>
      </c>
      <c r="B47" s="18">
        <f>Dataset_Rapi!B48</f>
        <v>46</v>
      </c>
      <c r="C47" s="19">
        <f>Dataset_Rapi!C48</f>
        <v>62</v>
      </c>
      <c r="D47" s="20">
        <f>Dataset_Rapi!D48</f>
        <v>3410000</v>
      </c>
      <c r="E47" s="21">
        <f t="shared" si="4"/>
        <v>3375925.8293873994</v>
      </c>
      <c r="F47" s="21">
        <f t="shared" si="5"/>
        <v>3387098.7592835259</v>
      </c>
      <c r="G47" s="21">
        <f t="shared" si="6"/>
        <v>3424733.6837781998</v>
      </c>
      <c r="H47" s="22">
        <f t="shared" si="7"/>
        <v>1</v>
      </c>
    </row>
    <row r="48" spans="1:8" x14ac:dyDescent="0.35">
      <c r="A48" s="17" t="str">
        <f>Dataset_Rapi!A49</f>
        <v>P47</v>
      </c>
      <c r="B48" s="18">
        <f>Dataset_Rapi!B49</f>
        <v>47</v>
      </c>
      <c r="C48" s="19">
        <f>Dataset_Rapi!C49</f>
        <v>64</v>
      </c>
      <c r="D48" s="20">
        <f>Dataset_Rapi!D49</f>
        <v>3520000</v>
      </c>
      <c r="E48" s="21">
        <f t="shared" si="4"/>
        <v>3485738.7173825866</v>
      </c>
      <c r="F48" s="21">
        <f t="shared" si="5"/>
        <v>3495931.3502219976</v>
      </c>
      <c r="G48" s="21">
        <f t="shared" si="6"/>
        <v>3531783.9125744938</v>
      </c>
      <c r="H48" s="22">
        <f t="shared" si="7"/>
        <v>1</v>
      </c>
    </row>
    <row r="49" spans="1:8" x14ac:dyDescent="0.35">
      <c r="A49" s="17" t="str">
        <f>Dataset_Rapi!A50</f>
        <v>P48</v>
      </c>
      <c r="B49" s="18">
        <f>Dataset_Rapi!B50</f>
        <v>48</v>
      </c>
      <c r="C49" s="19">
        <f>Dataset_Rapi!C50</f>
        <v>66</v>
      </c>
      <c r="D49" s="20">
        <f>Dataset_Rapi!D50</f>
        <v>3630000</v>
      </c>
      <c r="E49" s="21">
        <f t="shared" si="4"/>
        <v>3595563.0443930477</v>
      </c>
      <c r="F49" s="21">
        <f t="shared" si="5"/>
        <v>3604834.8097797767</v>
      </c>
      <c r="G49" s="21">
        <f t="shared" si="6"/>
        <v>3639010.0859224065</v>
      </c>
      <c r="H49" s="22">
        <f t="shared" si="7"/>
        <v>1</v>
      </c>
    </row>
    <row r="50" spans="1:8" x14ac:dyDescent="0.35">
      <c r="A50" s="17" t="str">
        <f>Dataset_Rapi!A51</f>
        <v>P49</v>
      </c>
      <c r="B50" s="18">
        <f>Dataset_Rapi!B51</f>
        <v>49</v>
      </c>
      <c r="C50" s="19">
        <f>Dataset_Rapi!C51</f>
        <v>68</v>
      </c>
      <c r="D50" s="20">
        <f>Dataset_Rapi!D51</f>
        <v>3740000</v>
      </c>
      <c r="E50" s="21">
        <f t="shared" si="4"/>
        <v>3705397.793295613</v>
      </c>
      <c r="F50" s="21">
        <f t="shared" si="5"/>
        <v>3713802.903513459</v>
      </c>
      <c r="G50" s="21">
        <f t="shared" si="6"/>
        <v>3746397.0966489925</v>
      </c>
      <c r="H50" s="22">
        <f t="shared" si="7"/>
        <v>1</v>
      </c>
    </row>
    <row r="51" spans="1:8" x14ac:dyDescent="0.35">
      <c r="A51" s="17" t="str">
        <f>Dataset_Rapi!A52</f>
        <v>P50</v>
      </c>
      <c r="B51" s="18">
        <f>Dataset_Rapi!B52</f>
        <v>50</v>
      </c>
      <c r="C51" s="19">
        <f>Dataset_Rapi!C52</f>
        <v>70</v>
      </c>
      <c r="D51" s="20">
        <f>Dataset_Rapi!D52</f>
        <v>3850000</v>
      </c>
      <c r="E51" s="21">
        <f t="shared" si="4"/>
        <v>3815242.0640013129</v>
      </c>
      <c r="F51" s="21">
        <f t="shared" si="5"/>
        <v>3822830.1043206197</v>
      </c>
      <c r="G51" s="21">
        <f t="shared" si="6"/>
        <v>3853931.4999264064</v>
      </c>
      <c r="H51" s="22">
        <f t="shared" si="7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Dataset_Rapi</vt:lpstr>
      <vt:lpstr>Iterasi_1</vt:lpstr>
      <vt:lpstr>Iterasi_2</vt:lpstr>
      <vt:lpstr>Iterasi_3</vt:lpstr>
      <vt:lpstr>Iterasi_4</vt:lpstr>
      <vt:lpstr>Iterasi_5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2026-02-09T15:19:18Z</dcterms:created>
  <dcterms:modified xsi:type="dcterms:W3CDTF">2026-02-09T17:25:15Z</dcterms:modified>
</cp:coreProperties>
</file>